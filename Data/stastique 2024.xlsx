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tty Statistique MI\"/>
    </mc:Choice>
  </mc:AlternateContent>
  <bookViews>
    <workbookView xWindow="720" yWindow="330" windowWidth="12495" windowHeight="7365" tabRatio="596" firstSheet="1" activeTab="8"/>
  </bookViews>
  <sheets>
    <sheet name="JANV" sheetId="1" r:id="rId1"/>
    <sheet name="FEV" sheetId="2" r:id="rId2"/>
    <sheet name="MARS" sheetId="3" r:id="rId3"/>
    <sheet name="AVRIL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EC" sheetId="12" r:id="rId12"/>
    <sheet name="TOTAL" sheetId="13" r:id="rId13"/>
  </sheets>
  <calcPr calcId="152511"/>
</workbook>
</file>

<file path=xl/calcChain.xml><?xml version="1.0" encoding="utf-8"?>
<calcChain xmlns="http://schemas.openxmlformats.org/spreadsheetml/2006/main">
  <c r="E37" i="12" l="1"/>
  <c r="E103" i="12" l="1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38" i="10" l="1"/>
  <c r="E37" i="10"/>
  <c r="E107" i="10" l="1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81" i="9" l="1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105" i="8" l="1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121" i="7" l="1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6" i="6" l="1"/>
  <c r="E24" i="6"/>
  <c r="E37" i="5" l="1"/>
  <c r="E105" i="6" l="1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5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57" i="5" l="1"/>
  <c r="E45" i="5" l="1"/>
  <c r="E29" i="5" l="1"/>
  <c r="E50" i="4" l="1"/>
  <c r="E3" i="5" l="1"/>
  <c r="E2" i="5" l="1"/>
  <c r="E109" i="5" l="1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6" i="5"/>
  <c r="E55" i="5"/>
  <c r="E54" i="5"/>
  <c r="E53" i="5"/>
  <c r="E52" i="5"/>
  <c r="E51" i="5"/>
  <c r="E50" i="5"/>
  <c r="E49" i="5"/>
  <c r="E48" i="5"/>
  <c r="E47" i="5"/>
  <c r="E46" i="5"/>
  <c r="E44" i="5"/>
  <c r="E43" i="5"/>
  <c r="E42" i="5"/>
  <c r="E41" i="5"/>
  <c r="E40" i="5"/>
  <c r="E39" i="5"/>
  <c r="E38" i="5"/>
  <c r="E36" i="5"/>
  <c r="E35" i="5"/>
  <c r="E34" i="5"/>
  <c r="E33" i="5"/>
  <c r="E32" i="5"/>
  <c r="E31" i="5"/>
  <c r="E30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2" i="4" l="1"/>
  <c r="E46" i="4" l="1"/>
  <c r="E49" i="4" l="1"/>
  <c r="E48" i="4"/>
  <c r="E47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9" i="3" l="1"/>
  <c r="E109" i="3" l="1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8" i="3"/>
  <c r="E7" i="3"/>
  <c r="E6" i="3"/>
  <c r="E5" i="3"/>
  <c r="E4" i="3"/>
  <c r="E3" i="3"/>
  <c r="E2" i="3"/>
  <c r="E81" i="2" l="1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0" i="1" l="1"/>
  <c r="E12" i="1" l="1"/>
  <c r="E4" i="1" l="1"/>
  <c r="E6" i="1"/>
  <c r="E7" i="1"/>
  <c r="E121" i="1" l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1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5" i="1"/>
  <c r="E3" i="1"/>
  <c r="E2" i="1"/>
  <c r="E112" i="2" l="1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3" i="13"/>
  <c r="E4" i="13"/>
  <c r="E5" i="13"/>
  <c r="E6" i="13"/>
  <c r="E8" i="13"/>
  <c r="E9" i="13"/>
  <c r="E10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</calcChain>
</file>

<file path=xl/sharedStrings.xml><?xml version="1.0" encoding="utf-8"?>
<sst xmlns="http://schemas.openxmlformats.org/spreadsheetml/2006/main" count="3631" uniqueCount="2336">
  <si>
    <t>BMR</t>
  </si>
  <si>
    <t>escarres</t>
  </si>
  <si>
    <t>ModeDeSortie</t>
  </si>
  <si>
    <t>Diagnostic</t>
  </si>
  <si>
    <t>Adresse</t>
  </si>
  <si>
    <t>Sexe</t>
  </si>
  <si>
    <t>Age</t>
  </si>
  <si>
    <t>DuréeDuSéjour</t>
  </si>
  <si>
    <t>DateDeSortie</t>
  </si>
  <si>
    <t>DateDentrée</t>
  </si>
  <si>
    <t>NomPrénom</t>
  </si>
  <si>
    <t>NuméroPatient</t>
  </si>
  <si>
    <t>M</t>
  </si>
  <si>
    <t>DCD</t>
  </si>
  <si>
    <t>F</t>
  </si>
  <si>
    <t>IO PULMONAIRE/R1</t>
  </si>
  <si>
    <t>TB MULTIFOCALE/R1</t>
  </si>
  <si>
    <t>GEA FEBRILE</t>
  </si>
  <si>
    <t xml:space="preserve"> </t>
  </si>
  <si>
    <t>MBOUR</t>
  </si>
  <si>
    <t>TB MULTIFOCALE</t>
  </si>
  <si>
    <t>TB PULMONAIRE</t>
  </si>
  <si>
    <t>MENINGOENCEPHALITE</t>
  </si>
  <si>
    <t>IBRAHIMA DIALLO</t>
  </si>
  <si>
    <t>PAPE OUMAR TALL</t>
  </si>
  <si>
    <t>PNEUMOPATHIE A GB</t>
  </si>
  <si>
    <t>GEC/R1</t>
  </si>
  <si>
    <t>MENINGITE A MENINGOCOQUE</t>
  </si>
  <si>
    <t>ABASS NDAO</t>
  </si>
  <si>
    <t>FATOU SECK</t>
  </si>
  <si>
    <t>MAMADOU DIALLO</t>
  </si>
  <si>
    <t>MAMADOU NDIAYE</t>
  </si>
  <si>
    <t>IO DIG ET PUL/R1</t>
  </si>
  <si>
    <t>MAMADOU SARR</t>
  </si>
  <si>
    <t>MENINGITE VIRALE</t>
  </si>
  <si>
    <t>TB PULMONAIRE/R1</t>
  </si>
  <si>
    <t xml:space="preserve">                </t>
  </si>
  <si>
    <t>PNEUMOPATHIE A GB/R1</t>
  </si>
  <si>
    <t>ABDOULAYE DIALLO</t>
  </si>
  <si>
    <t>DIEUPEUL</t>
  </si>
  <si>
    <t>POUSSEE HYPERTENSIVE</t>
  </si>
  <si>
    <t>NDACK GUEYE</t>
  </si>
  <si>
    <t>OUSMANE DIALLO</t>
  </si>
  <si>
    <t>SEYNABOU NDIAYE</t>
  </si>
  <si>
    <t>INFECTION URINAIRE</t>
  </si>
  <si>
    <t>DECHARGE</t>
  </si>
  <si>
    <t>PNEUMOCYSTOSE/R1</t>
  </si>
  <si>
    <t>DateDentree</t>
  </si>
  <si>
    <t>OUSMANE NDIAYE</t>
  </si>
  <si>
    <t>ABDOURAHMANE DIALLO</t>
  </si>
  <si>
    <t>ABDOULAYE DIOP</t>
  </si>
  <si>
    <t>ASSANE THIAW</t>
  </si>
  <si>
    <t>ALIOUNE NDIAYE</t>
  </si>
  <si>
    <t>BOUBACAR BA</t>
  </si>
  <si>
    <t>SUSPICION DE MENINGITE</t>
  </si>
  <si>
    <t>MOUSTAPHA DIOP</t>
  </si>
  <si>
    <t xml:space="preserve">              </t>
  </si>
  <si>
    <t>FATOU NDIAYE</t>
  </si>
  <si>
    <t>OUMOU DIALLO</t>
  </si>
  <si>
    <t>NDEYE AMY GUEYE</t>
  </si>
  <si>
    <t>CHEIKH NDIAYE</t>
  </si>
  <si>
    <t>944P</t>
  </si>
  <si>
    <t>ELISABETH POTANOS</t>
  </si>
  <si>
    <t>SEPTICOPYEME A BRM</t>
  </si>
  <si>
    <t>945P</t>
  </si>
  <si>
    <t>COUMBA GAYE</t>
  </si>
  <si>
    <t>THIAROYE GARE ANIDALAYE</t>
  </si>
  <si>
    <t>946P</t>
  </si>
  <si>
    <t>DJEYNABA TRAORE</t>
  </si>
  <si>
    <t>CITE SOPRIM</t>
  </si>
  <si>
    <t>IO DIG/R PROBABLE</t>
  </si>
  <si>
    <t>947P</t>
  </si>
  <si>
    <t>ASTHEMIE/R1</t>
  </si>
  <si>
    <t>948P</t>
  </si>
  <si>
    <t>IBRAHIMA AMDY NIANG</t>
  </si>
  <si>
    <t>PA UI18</t>
  </si>
  <si>
    <t xml:space="preserve">ED INFECTIEUX </t>
  </si>
  <si>
    <t>MOUHAMED SOUMARE</t>
  </si>
  <si>
    <t>ABDOU FALL</t>
  </si>
  <si>
    <t>AISSATOU DIOP</t>
  </si>
  <si>
    <t>MOUHAMADOU BA</t>
  </si>
  <si>
    <t>CTCV</t>
  </si>
  <si>
    <t>AMINATA DIALLO</t>
  </si>
  <si>
    <t>FATOUMATA DIALLO</t>
  </si>
  <si>
    <t>ASSANE GUEYE</t>
  </si>
  <si>
    <t>1H</t>
  </si>
  <si>
    <t>JEANNE MARIE MOREAU</t>
  </si>
  <si>
    <t>MEDINA 776906932</t>
  </si>
  <si>
    <t>DIARRHEE LIQUIDIENNE/R</t>
  </si>
  <si>
    <t>5H</t>
  </si>
  <si>
    <t>MOUSSA MANE</t>
  </si>
  <si>
    <t>KEUR MASSAR 775511641</t>
  </si>
  <si>
    <t>TB PULM ET NEUROLOGIQUE</t>
  </si>
  <si>
    <t>5H BIS</t>
  </si>
  <si>
    <t>4H</t>
  </si>
  <si>
    <t>OMAR MBAYE</t>
  </si>
  <si>
    <t>YEUMBEUL 777848670</t>
  </si>
  <si>
    <t>TB GG/LYMPHOME</t>
  </si>
  <si>
    <t>6H</t>
  </si>
  <si>
    <t>ABY SY</t>
  </si>
  <si>
    <t>?????</t>
  </si>
  <si>
    <t>MAMADOU LAMARANA BALDE</t>
  </si>
  <si>
    <t>GRD DAKAR 784841701</t>
  </si>
  <si>
    <t>SD PSEUDO GRIPPAL</t>
  </si>
  <si>
    <t>13HBIS</t>
  </si>
  <si>
    <t>MODOU DIENG</t>
  </si>
  <si>
    <t>GUEDIAWAYE 776175353</t>
  </si>
  <si>
    <t xml:space="preserve">TB MULTIFOCALE </t>
  </si>
  <si>
    <t>11H</t>
  </si>
  <si>
    <t>MBAYE FAYE</t>
  </si>
  <si>
    <t>PAU13 775157782</t>
  </si>
  <si>
    <t>ALVEOLITE POST EXTRACTION</t>
  </si>
  <si>
    <t>8HBIS</t>
  </si>
  <si>
    <t>8H</t>
  </si>
  <si>
    <t>MAMADOU RACINE SY</t>
  </si>
  <si>
    <t>CITE MIXTA 776190507</t>
  </si>
  <si>
    <t>DIABETE TYPE 2 DECOMPENSEE MODE ACIDO CETOSIQ</t>
  </si>
  <si>
    <t>12H</t>
  </si>
  <si>
    <t>ETIENNE NICOLAS SENGHOR</t>
  </si>
  <si>
    <t>THIES 771723817/773087560</t>
  </si>
  <si>
    <t>TB MULTIFOCALE /R1</t>
  </si>
  <si>
    <t>3H</t>
  </si>
  <si>
    <t>COUMBA FALL</t>
  </si>
  <si>
    <t>KEUR MASSAR 785823300</t>
  </si>
  <si>
    <t>LEUCEMIE AIGUE PROBABLE</t>
  </si>
  <si>
    <t>HEMATO DALAL JAMM</t>
  </si>
  <si>
    <t>30H</t>
  </si>
  <si>
    <t>PAPE YOUSSOUF SAGNA</t>
  </si>
  <si>
    <t>PA 779678938</t>
  </si>
  <si>
    <t>18H</t>
  </si>
  <si>
    <t>MBENE MBAYE</t>
  </si>
  <si>
    <t>SEDIMA 771099663</t>
  </si>
  <si>
    <t>DERMOHYPODERMITE BACTERIENNE NON NECROSANTE</t>
  </si>
  <si>
    <t>19H</t>
  </si>
  <si>
    <t>MAME BARKA DIOP</t>
  </si>
  <si>
    <t>THIAROYE 775941092</t>
  </si>
  <si>
    <t>27H</t>
  </si>
  <si>
    <t>MAMADOU LAMINE NIANG</t>
  </si>
  <si>
    <t>KEDOUGOU 772172984</t>
  </si>
  <si>
    <t>TB PULM SUR MLDIE DE VERNEUIL</t>
  </si>
  <si>
    <t>2H</t>
  </si>
  <si>
    <t>AMADOU NGOM</t>
  </si>
  <si>
    <t>8 ans</t>
  </si>
  <si>
    <t>m</t>
  </si>
  <si>
    <t>KEUR MASSAR 773056651</t>
  </si>
  <si>
    <t>TETANOS AIGU GENERALISE</t>
  </si>
  <si>
    <t>22H</t>
  </si>
  <si>
    <t xml:space="preserve">PA U5 </t>
  </si>
  <si>
    <t>RAGE CANINE PROBABLE</t>
  </si>
  <si>
    <t>21H</t>
  </si>
  <si>
    <t>MICHEL ADAMA MANGA</t>
  </si>
  <si>
    <t>KEUR MBAY FALL 770791812</t>
  </si>
  <si>
    <t>NEOPLASIE DU PANCREAS PROBABLE AVEC METASTASES</t>
  </si>
  <si>
    <t>17H BIS</t>
  </si>
  <si>
    <t>ISSA SAMAKE</t>
  </si>
  <si>
    <t>HLM PATTE D OIE 784612069</t>
  </si>
  <si>
    <t>16H</t>
  </si>
  <si>
    <t>FATOU NDIOR</t>
  </si>
  <si>
    <t>SICAP MBAO 779062552</t>
  </si>
  <si>
    <t>ADENOCARCINOME ANTRALE</t>
  </si>
  <si>
    <t>15H</t>
  </si>
  <si>
    <t>FAMA DIA</t>
  </si>
  <si>
    <t>MARISTES 770966469</t>
  </si>
  <si>
    <t>10H</t>
  </si>
  <si>
    <t>SIDATHE DIAGNE</t>
  </si>
  <si>
    <t>GRD DKR 776413256</t>
  </si>
  <si>
    <r>
      <rPr>
        <b/>
        <sz val="11"/>
        <color theme="1"/>
        <rFont val="Calibri"/>
        <family val="2"/>
        <scheme val="minor"/>
      </rPr>
      <t>PALU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TDR+</t>
    </r>
  </si>
  <si>
    <t>REA POLYVALENT</t>
  </si>
  <si>
    <t>7H</t>
  </si>
  <si>
    <t>MAMADOU SAMBA CAMARA</t>
  </si>
  <si>
    <t>LIBERTE 6 775196408</t>
  </si>
  <si>
    <t>TB MULTIFOCALE DIGEST PERITONEAL GG PULM /R1</t>
  </si>
  <si>
    <t>AWA SARR</t>
  </si>
  <si>
    <t>YEUMBEUL 771292620</t>
  </si>
  <si>
    <t>TB PULMONAIRE SUR DIABETE TYPE 2</t>
  </si>
  <si>
    <t xml:space="preserve">17H </t>
  </si>
  <si>
    <t>32H</t>
  </si>
  <si>
    <t>BANNA BADJI</t>
  </si>
  <si>
    <t>KEUR MASSAR 778398234</t>
  </si>
  <si>
    <t>26H</t>
  </si>
  <si>
    <t>KHADIDIATOU DIOP</t>
  </si>
  <si>
    <t>MEDINA 778008544</t>
  </si>
  <si>
    <t>37H</t>
  </si>
  <si>
    <t>FATIM SOW</t>
  </si>
  <si>
    <t>MBAR TOUBAB 774175653</t>
  </si>
  <si>
    <t>TB MUTIFOCALE PULM ET GG</t>
  </si>
  <si>
    <t>34H</t>
  </si>
  <si>
    <t>OUSMANE BADJI</t>
  </si>
  <si>
    <t>MEDINA 779975045</t>
  </si>
  <si>
    <t>ROUGUYATOU DIALLO</t>
  </si>
  <si>
    <t>GUEDIAWAYE 781774875</t>
  </si>
  <si>
    <t>TB PULM COMPLIQUEE DE SAM</t>
  </si>
  <si>
    <t>13H</t>
  </si>
  <si>
    <t>AWA TOURE</t>
  </si>
  <si>
    <t>HLM 4/776148554</t>
  </si>
  <si>
    <t>RHUMATISME SUR FIEVRE RECURRENTE</t>
  </si>
  <si>
    <t>29H</t>
  </si>
  <si>
    <t>NAFI NDIAYE</t>
  </si>
  <si>
    <t>YEENDIAKHE 772430854</t>
  </si>
  <si>
    <t>MLDIE DE CHROHN</t>
  </si>
  <si>
    <t>14H</t>
  </si>
  <si>
    <t>AMADOU ALY WAGNE</t>
  </si>
  <si>
    <t>GUEDIAWAYE 774424110</t>
  </si>
  <si>
    <t>PNEUMOPATHIE AIGUE COMMUNAUTAIRE</t>
  </si>
  <si>
    <t>44H</t>
  </si>
  <si>
    <t>KHADIDIATOU DIA</t>
  </si>
  <si>
    <t>MEDINA GOUNASS 779240327</t>
  </si>
  <si>
    <t>GEA D ORIGINE VIRALE PROBABLE</t>
  </si>
  <si>
    <t>20H</t>
  </si>
  <si>
    <t>IBRAHIMA FALL</t>
  </si>
  <si>
    <t>YARAKH  778144505</t>
  </si>
  <si>
    <t>TB PULM ET CEREBRALE</t>
  </si>
  <si>
    <t>33H</t>
  </si>
  <si>
    <t>THIOFANE SENE</t>
  </si>
  <si>
    <t>FISSEL 774020555</t>
  </si>
  <si>
    <t>MENINGOENCEPHALITE BACT,</t>
  </si>
  <si>
    <t>41H</t>
  </si>
  <si>
    <t xml:space="preserve">MALANDING DIEDHIOU </t>
  </si>
  <si>
    <t>PA 773040207</t>
  </si>
  <si>
    <t>MENINGITE BACT PROBABLE A PNEUMOCOQUE</t>
  </si>
  <si>
    <t>9H</t>
  </si>
  <si>
    <t>MEDINA 771807100</t>
  </si>
  <si>
    <t>ISSAKHA THIOME</t>
  </si>
  <si>
    <t>42H</t>
  </si>
  <si>
    <t>ABDOULAYE NOUR SECK</t>
  </si>
  <si>
    <t>PIKINE 772415202</t>
  </si>
  <si>
    <t>43H</t>
  </si>
  <si>
    <t>OUAKAM COMICO 774383643</t>
  </si>
  <si>
    <t>38H</t>
  </si>
  <si>
    <t>NDEYE KHOUDIA DIOP</t>
  </si>
  <si>
    <t>BENE TALLY 773090076</t>
  </si>
  <si>
    <t>35H</t>
  </si>
  <si>
    <t>MALICK SECK</t>
  </si>
  <si>
    <t>DOUGAR 774320871</t>
  </si>
  <si>
    <t>36H</t>
  </si>
  <si>
    <t>PAPE SAMBA MBENGUE</t>
  </si>
  <si>
    <t>RUFISQUE 778028021</t>
  </si>
  <si>
    <t>39H</t>
  </si>
  <si>
    <t>FATOUMATA GADJIGO</t>
  </si>
  <si>
    <t>CASTOR 776965531</t>
  </si>
  <si>
    <t>40H</t>
  </si>
  <si>
    <t>ASTOU CISS</t>
  </si>
  <si>
    <t>RUFISQUE 773538025</t>
  </si>
  <si>
    <t>PA 775157782</t>
  </si>
  <si>
    <t>TETANOS LOCALISE</t>
  </si>
  <si>
    <t>28H</t>
  </si>
  <si>
    <t>KINTA MANE</t>
  </si>
  <si>
    <t>GRD YOFF 773964901</t>
  </si>
  <si>
    <t>25H</t>
  </si>
  <si>
    <t>HAWA DIAKITE</t>
  </si>
  <si>
    <t>YEUMBEUL 774409710</t>
  </si>
  <si>
    <t>24H</t>
  </si>
  <si>
    <t>KEUR MBAYE FALL 779933438</t>
  </si>
  <si>
    <t>23H</t>
  </si>
  <si>
    <t>MOHAMED DIALLO</t>
  </si>
  <si>
    <t xml:space="preserve">                8 ans</t>
  </si>
  <si>
    <t>ZAC MBAO 783325832</t>
  </si>
  <si>
    <t>31H</t>
  </si>
  <si>
    <t xml:space="preserve">TIVAOUANE PEUL </t>
  </si>
  <si>
    <t>INFECTION A VIH1</t>
  </si>
  <si>
    <t>TB BIFOCALE TOXOP CEREBRALE/R1</t>
  </si>
  <si>
    <t>MENINGOENCEPHALITE A PNEUMOCOQUE</t>
  </si>
  <si>
    <t>PNEUMOPATHIE BACTERIENNE</t>
  </si>
  <si>
    <t>15HBIS</t>
  </si>
  <si>
    <t>DIARIATOULAYE SYLLA</t>
  </si>
  <si>
    <t>LIBERTE 6 775558444</t>
  </si>
  <si>
    <t>FIEVRE TYPHOIDE</t>
  </si>
  <si>
    <t>DIOMA DIENG</t>
  </si>
  <si>
    <t>46H</t>
  </si>
  <si>
    <t>47H</t>
  </si>
  <si>
    <t>48H</t>
  </si>
  <si>
    <t>49H</t>
  </si>
  <si>
    <t>ABDOUL KHADR SADY</t>
  </si>
  <si>
    <t>HANN 774506446</t>
  </si>
  <si>
    <t>MOHAMED NTICH</t>
  </si>
  <si>
    <t>NORD FOIRE 776133736</t>
  </si>
  <si>
    <t>MYOSITES SUPPUREES</t>
  </si>
  <si>
    <t>45H</t>
  </si>
  <si>
    <t>NIARY TALLY 781845058</t>
  </si>
  <si>
    <t>CHC PROBABLE/R1</t>
  </si>
  <si>
    <t>58H</t>
  </si>
  <si>
    <t>OUMY THIOUNE</t>
  </si>
  <si>
    <t>HLM GRD YOFF</t>
  </si>
  <si>
    <t>MENINGITE BACTERIENNE DECAPITEE</t>
  </si>
  <si>
    <t>52H</t>
  </si>
  <si>
    <t>MOHAMED NIANG</t>
  </si>
  <si>
    <t>PA U9 778141684</t>
  </si>
  <si>
    <t>NDEYE MAGUETTE MBENGUE</t>
  </si>
  <si>
    <t>ZAC MBAO 775271530</t>
  </si>
  <si>
    <t>SIDY MOCTAR GASSAMA</t>
  </si>
  <si>
    <t>GUEDIAWAYE 775326477</t>
  </si>
  <si>
    <t>MENINGOENCEPHALITE BACT</t>
  </si>
  <si>
    <t>61H</t>
  </si>
  <si>
    <t xml:space="preserve">CITE BIAYE </t>
  </si>
  <si>
    <t>PNEUMOPATHIE A SARS COV2</t>
  </si>
  <si>
    <t>68H</t>
  </si>
  <si>
    <t>AICHATA BA</t>
  </si>
  <si>
    <t>LOUGA GUITI ARDO 775556665</t>
  </si>
  <si>
    <t>SALMONELLOSE</t>
  </si>
  <si>
    <t>64H</t>
  </si>
  <si>
    <t>RUFISQUE 773538015</t>
  </si>
  <si>
    <t>BACTERIEMIE A PE CUTANEE</t>
  </si>
  <si>
    <t>69H</t>
  </si>
  <si>
    <t>BAILA BARRY</t>
  </si>
  <si>
    <t>LIBERTE 6 /776921519</t>
  </si>
  <si>
    <t>GEA FEBRILE COMPLIQUE DE DESHYDRATATION MODEREE</t>
  </si>
  <si>
    <t>57H</t>
  </si>
  <si>
    <t>GASPAR MANGA</t>
  </si>
  <si>
    <t>PA 774024942</t>
  </si>
  <si>
    <t>55H</t>
  </si>
  <si>
    <t>MAMADOU DIENG</t>
  </si>
  <si>
    <t>KEUR MASSAR 773151978</t>
  </si>
  <si>
    <t>EMBOLIE PULM PNEUMOPAT</t>
  </si>
  <si>
    <t>63H</t>
  </si>
  <si>
    <t>COUMBA NDAO</t>
  </si>
  <si>
    <t>GUINGUINEO 772090228</t>
  </si>
  <si>
    <t>ASCITE CARCINOMATEUSE</t>
  </si>
  <si>
    <t>60H</t>
  </si>
  <si>
    <t>HLM 6/776258503</t>
  </si>
  <si>
    <t xml:space="preserve">INSUFFIS.RENALE </t>
  </si>
  <si>
    <t>HMO</t>
  </si>
  <si>
    <t>59H</t>
  </si>
  <si>
    <t>EL HADJI MAGUEYE NIANG</t>
  </si>
  <si>
    <t>SICAP MBAO 777038877</t>
  </si>
  <si>
    <t>CHC SECONDAIRE CIRHOSE B</t>
  </si>
  <si>
    <t>73H</t>
  </si>
  <si>
    <t>AWA DRAME</t>
  </si>
  <si>
    <t>USINE BENE TALLY 765062090</t>
  </si>
  <si>
    <t>TOXIDERMIE</t>
  </si>
  <si>
    <t>72H</t>
  </si>
  <si>
    <t>OUMOU KANDEH</t>
  </si>
  <si>
    <t xml:space="preserve">GAMBIE </t>
  </si>
  <si>
    <t>LYMPHOME/R1</t>
  </si>
  <si>
    <t>62H</t>
  </si>
  <si>
    <t>ABDOULAYE BA</t>
  </si>
  <si>
    <t>LIBERTE 6 /776892982</t>
  </si>
  <si>
    <t>MILIAIRE TUBERCUL. ASPHYX.</t>
  </si>
  <si>
    <t>DIABETE TYPE 2 INAUGURAL REVELEE PAR UNE PLAIE DES ORTEILS</t>
  </si>
  <si>
    <t>80H</t>
  </si>
  <si>
    <t>PAPE MALICK DIAW</t>
  </si>
  <si>
    <t>KEUR MASSAR 776053765</t>
  </si>
  <si>
    <r>
      <rPr>
        <b/>
        <sz val="11"/>
        <color theme="1"/>
        <rFont val="Calibri"/>
        <family val="2"/>
        <scheme val="minor"/>
      </rPr>
      <t xml:space="preserve">PALUDISME GRAVE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 xml:space="preserve"> ET MENINGOENCEPHALITE</t>
    </r>
  </si>
  <si>
    <t>54H</t>
  </si>
  <si>
    <t>DAME SECK</t>
  </si>
  <si>
    <t>KAOLACK 774192020/757476631</t>
  </si>
  <si>
    <t>56H</t>
  </si>
  <si>
    <t>OUMAR LY</t>
  </si>
  <si>
    <t>LIBERTE 6/776713168</t>
  </si>
  <si>
    <t>PNEUMOCYSTOSE PULMONAIRE/R1 PROBABLE</t>
  </si>
  <si>
    <t>53H</t>
  </si>
  <si>
    <t>CHEIKHOU SARR</t>
  </si>
  <si>
    <t>MBOUR 773472777</t>
  </si>
  <si>
    <t>51H</t>
  </si>
  <si>
    <t>MAIMOUNA NDIAYE</t>
  </si>
  <si>
    <t>CITE DOUANE 773252889</t>
  </si>
  <si>
    <t>76H</t>
  </si>
  <si>
    <t>ALY NDIAYE</t>
  </si>
  <si>
    <t>KEUR MASSAR 765744852</t>
  </si>
  <si>
    <t>50H</t>
  </si>
  <si>
    <t>MAME KHADY GUEYE</t>
  </si>
  <si>
    <t>PIKINE 776574663</t>
  </si>
  <si>
    <t>65H</t>
  </si>
  <si>
    <t>NDEYE NDIAYE</t>
  </si>
  <si>
    <t>CROISEMENT APIX 773445416</t>
  </si>
  <si>
    <t>66H</t>
  </si>
  <si>
    <t>YOUMA SAKILIBA</t>
  </si>
  <si>
    <t>HANN MARISTE 774590336</t>
  </si>
  <si>
    <t xml:space="preserve">MENINGOENCEPHALITE </t>
  </si>
  <si>
    <t>67H</t>
  </si>
  <si>
    <t>AMADOU DIALLO</t>
  </si>
  <si>
    <t>RUFISQUE 770598854</t>
  </si>
  <si>
    <t>70H</t>
  </si>
  <si>
    <t>MBACKE 775924863</t>
  </si>
  <si>
    <t>71H</t>
  </si>
  <si>
    <t>ALPHA MAMADOU BA</t>
  </si>
  <si>
    <t>MEDINA 786121065</t>
  </si>
  <si>
    <t>74H</t>
  </si>
  <si>
    <t>ABDOURAHMANE TALL</t>
  </si>
  <si>
    <t>75H</t>
  </si>
  <si>
    <t>KEUR SAMBA KANE 784645405</t>
  </si>
  <si>
    <t>77H</t>
  </si>
  <si>
    <t>ADJI NATOU NDEYE NDIAYE</t>
  </si>
  <si>
    <t>MBOUR 771599970</t>
  </si>
  <si>
    <t>78H</t>
  </si>
  <si>
    <t>SOKHNA NDIR</t>
  </si>
  <si>
    <t>PIKINE 773726645</t>
  </si>
  <si>
    <t>79H</t>
  </si>
  <si>
    <t>ANTA NDIAYE</t>
  </si>
  <si>
    <t>BAKHER DIOP</t>
  </si>
  <si>
    <t>CNTS</t>
  </si>
  <si>
    <r>
      <rPr>
        <b/>
        <sz val="11"/>
        <color theme="1"/>
        <rFont val="Calibri"/>
        <family val="2"/>
        <scheme val="minor"/>
      </rPr>
      <t>PALU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GE+ </t>
    </r>
    <r>
      <rPr>
        <sz val="11"/>
        <color theme="1"/>
        <rFont val="Calibri"/>
        <family val="2"/>
        <scheme val="minor"/>
      </rPr>
      <t>AVEC MENINGITE A PNEUMOCOQUE</t>
    </r>
  </si>
  <si>
    <t>KHAR YALLA 773697876</t>
  </si>
  <si>
    <t>PROBABLE ISOSPOROSE/R2</t>
  </si>
  <si>
    <t>PNEUMONIE FRANCHE LOBAIRE DRTE</t>
  </si>
  <si>
    <t>OUEST FOIR CITE COPEH 775490611</t>
  </si>
  <si>
    <t>EMBOLIE PULMONAIRE MAXIMALE DRTE+HTAP</t>
  </si>
  <si>
    <t>89H</t>
  </si>
  <si>
    <t>MOHAMED SID ELEMINE AICHATOU</t>
  </si>
  <si>
    <t>MEDINA 781281085</t>
  </si>
  <si>
    <t>INFECTION URINAIRE A E.COLI</t>
  </si>
  <si>
    <t>92H</t>
  </si>
  <si>
    <t>DIARIATOU LAYE SYLLA</t>
  </si>
  <si>
    <t>LIBERTE 6/ 774995637</t>
  </si>
  <si>
    <t>SAM//R1</t>
  </si>
  <si>
    <t>96H</t>
  </si>
  <si>
    <t>MAIMOUNA BARRY</t>
  </si>
  <si>
    <t>DALIFORT 783075481</t>
  </si>
  <si>
    <t>82H</t>
  </si>
  <si>
    <t>AMY COLY</t>
  </si>
  <si>
    <t>NIARY TALLY 762955500</t>
  </si>
  <si>
    <t xml:space="preserve">DERMOHYPODERMITE BACT + FRACTURE MALLEOLE EXTERNE DRTE </t>
  </si>
  <si>
    <t>81H</t>
  </si>
  <si>
    <t>BOUBACAR  BARRY</t>
  </si>
  <si>
    <t>KOUNOUNE 783792497</t>
  </si>
  <si>
    <t>TETANOS AIGU GENERALISE SCORE3 STAD 2</t>
  </si>
  <si>
    <t>83H</t>
  </si>
  <si>
    <t>AMADOU BARRY</t>
  </si>
  <si>
    <t>PA U7 /772022827</t>
  </si>
  <si>
    <t>TB MULTIFOCALE PROBABLE PULM ET GG</t>
  </si>
  <si>
    <t>91H</t>
  </si>
  <si>
    <t>AWA NIANE</t>
  </si>
  <si>
    <t>KEUR MASSAR 777339242</t>
  </si>
  <si>
    <t>SPONDYLODISCITE A STAPHYLOCOCCUS AUREUS</t>
  </si>
  <si>
    <t>85H</t>
  </si>
  <si>
    <t>BORY SAGNA</t>
  </si>
  <si>
    <t>YEUMBEUL 775604104</t>
  </si>
  <si>
    <t>TB BIFOCALE PULM ET DIGESTIVE</t>
  </si>
  <si>
    <t>OAP LESIONNEL /CARDIOGE</t>
  </si>
  <si>
    <t>107H</t>
  </si>
  <si>
    <t>DIEUMBA MANE</t>
  </si>
  <si>
    <t>POINT E 776357359</t>
  </si>
  <si>
    <t>TRAUMATISME FERME DU FEMUR</t>
  </si>
  <si>
    <t>90H</t>
  </si>
  <si>
    <t>FALLOU NDIAYE</t>
  </si>
  <si>
    <t>GRD DAKAR  779070659</t>
  </si>
  <si>
    <t>87H</t>
  </si>
  <si>
    <t>ANDRE JOSEPH COLY</t>
  </si>
  <si>
    <t>GUEDIAWAYE 775540142</t>
  </si>
  <si>
    <t>PNEUMOPATHIE AIGUE BACT+ ENTERITE PARASITAIRE</t>
  </si>
  <si>
    <t>84H</t>
  </si>
  <si>
    <t>NDIAGA GUEYE</t>
  </si>
  <si>
    <t>KADIOR  784255074</t>
  </si>
  <si>
    <t>TETANOS FRUSTRE A PE BUCCAL</t>
  </si>
  <si>
    <t>94H</t>
  </si>
  <si>
    <t>SERIGNE BOUSSO DIOP</t>
  </si>
  <si>
    <t>HLM 5 775879060</t>
  </si>
  <si>
    <t>PNEUMOPATHIE AIGUE BACTERIENNE</t>
  </si>
  <si>
    <t>97H</t>
  </si>
  <si>
    <t>DAME  MBAYE</t>
  </si>
  <si>
    <t>RAGE DANS SA FORME FURIEUSE</t>
  </si>
  <si>
    <t>GOSSAS 783635728</t>
  </si>
  <si>
    <t>93H</t>
  </si>
  <si>
    <t>AMY BA</t>
  </si>
  <si>
    <t>YEUMBEUL 706912147</t>
  </si>
  <si>
    <t>TB BIFOCALE</t>
  </si>
  <si>
    <t>104H</t>
  </si>
  <si>
    <t>MAME KHAR SALL</t>
  </si>
  <si>
    <t>ZAC MBAO 777348467</t>
  </si>
  <si>
    <t>OAP</t>
  </si>
  <si>
    <t>111H</t>
  </si>
  <si>
    <t>MOUSSA NDIAYE</t>
  </si>
  <si>
    <t>DIAMAGUENE 775322695</t>
  </si>
  <si>
    <t>TETANOS FRUSTRE DKR 2 MOLLARET 1</t>
  </si>
  <si>
    <t>102H</t>
  </si>
  <si>
    <t>CITE ALIOU SOW  768461924</t>
  </si>
  <si>
    <t>TB MULTIFOCALE NEUROMEN PULM GG/R1</t>
  </si>
  <si>
    <t>122H</t>
  </si>
  <si>
    <t>JEAN PIERRE ROLAND</t>
  </si>
  <si>
    <t>NGOR 775036633</t>
  </si>
  <si>
    <t>ALTERATION  DE L ETAT GENERAL /R1</t>
  </si>
  <si>
    <t>112H</t>
  </si>
  <si>
    <t>AL OUSSEYNOU DIALLO</t>
  </si>
  <si>
    <t>DIOLOL DIABE MATAM 775150285</t>
  </si>
  <si>
    <t>TB PULMONAIRE AVEC MENINGISME/R1</t>
  </si>
  <si>
    <t>126H</t>
  </si>
  <si>
    <t>PAUL GOMIS</t>
  </si>
  <si>
    <t>GUEDIAWAYE 775058775</t>
  </si>
  <si>
    <t>108H</t>
  </si>
  <si>
    <t>YOFF MBENGUENE 774364450</t>
  </si>
  <si>
    <t>TETANOS AIGU GENERALISE DKR1 MOLARE2</t>
  </si>
  <si>
    <t>103H</t>
  </si>
  <si>
    <t>MOMAR DIENG</t>
  </si>
  <si>
    <t>MBAO 781788598</t>
  </si>
  <si>
    <t>105H</t>
  </si>
  <si>
    <t>IBRAHIMA NGOM</t>
  </si>
  <si>
    <t>GRD DAKAR  771229140</t>
  </si>
  <si>
    <t>117H</t>
  </si>
  <si>
    <t>ABDOU AZIZ BA</t>
  </si>
  <si>
    <t>SOCABEG 772794247</t>
  </si>
  <si>
    <t>NEUROPATHIE PERIPHERIQUE/R1</t>
  </si>
  <si>
    <t>129H</t>
  </si>
  <si>
    <t>ASSANE NDAO</t>
  </si>
  <si>
    <t>CITE AINOUMADY 774325838</t>
  </si>
  <si>
    <t>TB  PULMONAIRE/R1</t>
  </si>
  <si>
    <t>120H</t>
  </si>
  <si>
    <t>BASSIROU FABOURE</t>
  </si>
  <si>
    <t>KEUR MBAYE FALL 773254765</t>
  </si>
  <si>
    <t>88H</t>
  </si>
  <si>
    <t>SAMBA COR FALL</t>
  </si>
  <si>
    <t>CASTOR DKR 772778183</t>
  </si>
  <si>
    <t>101H</t>
  </si>
  <si>
    <t>05ans</t>
  </si>
  <si>
    <t>LIBERTE 2 /775001962/781671133</t>
  </si>
  <si>
    <t>126HBIS</t>
  </si>
  <si>
    <t>DIARETOU SARR</t>
  </si>
  <si>
    <t>NIODIOR 762856150/779733458</t>
  </si>
  <si>
    <t>TB MULTIFOCALE /R PROBABLE</t>
  </si>
  <si>
    <t>113H</t>
  </si>
  <si>
    <t>NDEYE AIDA NDIAYE</t>
  </si>
  <si>
    <t>NIAKOURAP 776642742</t>
  </si>
  <si>
    <t>BACTERIEMIE A PE DIGESTIVE</t>
  </si>
  <si>
    <t>86H</t>
  </si>
  <si>
    <t>SODA DIOP</t>
  </si>
  <si>
    <t>HLM 6 /761711884</t>
  </si>
  <si>
    <t>MILIAIRE TB /R1</t>
  </si>
  <si>
    <t>110H</t>
  </si>
  <si>
    <t>AITA NDIAYE</t>
  </si>
  <si>
    <t>TATTAGUINE 773464599</t>
  </si>
  <si>
    <t>PNEUMOPATHIE INTERSTITIELLE DIFFUSE SUR MYASTHENIE</t>
  </si>
  <si>
    <t>MENINGOENCEPHALITE BACTERIENNE</t>
  </si>
  <si>
    <t>127H</t>
  </si>
  <si>
    <t>PENDA FALL</t>
  </si>
  <si>
    <t>PIKINE RUE 10/778991593</t>
  </si>
  <si>
    <t>SEPTICOPYOHEMIE A PE X A LOC PUL NEUR</t>
  </si>
  <si>
    <t>106H</t>
  </si>
  <si>
    <t>SEYDOU NDONGO</t>
  </si>
  <si>
    <t>GIBRALTAR 2/754448067</t>
  </si>
  <si>
    <r>
      <t xml:space="preserve">DERMOHYPODERMITE BACT NON NECROSANTE  </t>
    </r>
    <r>
      <rPr>
        <b/>
        <sz val="11"/>
        <color rgb="FFFF0000"/>
        <rFont val="Calibri"/>
        <family val="2"/>
        <scheme val="minor"/>
      </rPr>
      <t>HOGYP</t>
    </r>
  </si>
  <si>
    <t>118H</t>
  </si>
  <si>
    <t>ZEINABOU IDRISSA</t>
  </si>
  <si>
    <t>100H</t>
  </si>
  <si>
    <t>FATIMA DIOP</t>
  </si>
  <si>
    <t>ST LOUIS 774283550</t>
  </si>
  <si>
    <t>DERMOHYPODERMITE BACT NON NECOSANTE SUR LYMPHOEDEME</t>
  </si>
  <si>
    <t>LAC ROSE 772784930</t>
  </si>
  <si>
    <t>TB PULM ET CHOLECYSTITE ALITHIASIQ/R1</t>
  </si>
  <si>
    <t>119H</t>
  </si>
  <si>
    <t>MALICK DIOUM</t>
  </si>
  <si>
    <t>DAARA DJOLOF /776575944/776528472</t>
  </si>
  <si>
    <t>TB PULMONAIRE//R1</t>
  </si>
  <si>
    <t>114H</t>
  </si>
  <si>
    <t>ABDOU SALAM CISSE</t>
  </si>
  <si>
    <t>KEUR MASSAR 771321587</t>
  </si>
  <si>
    <t>130HBIS</t>
  </si>
  <si>
    <t>PAPE OMAR TALL</t>
  </si>
  <si>
    <t>GRD DKR 772689472</t>
  </si>
  <si>
    <t>CHC AVEC COINFECTION HB</t>
  </si>
  <si>
    <t>132H</t>
  </si>
  <si>
    <t>FATOU CEESOY MANNEH</t>
  </si>
  <si>
    <t>CHC PROBABLE</t>
  </si>
  <si>
    <t>136H</t>
  </si>
  <si>
    <t>ALIOU NIANG</t>
  </si>
  <si>
    <t>PA U4/774399877</t>
  </si>
  <si>
    <t>131H</t>
  </si>
  <si>
    <t>YOUSSOU HARUNA</t>
  </si>
  <si>
    <t>SANDAGA 708293468</t>
  </si>
  <si>
    <t>133H</t>
  </si>
  <si>
    <t>OUSMANE SONKO</t>
  </si>
  <si>
    <t xml:space="preserve">MERMOZ </t>
  </si>
  <si>
    <t>163HBIS</t>
  </si>
  <si>
    <t>ARMEL DUTEIL</t>
  </si>
  <si>
    <t>MERMOZ 776809307</t>
  </si>
  <si>
    <t>DIABETE DECOMPENSE SUR LE MODE CV</t>
  </si>
  <si>
    <t>164H</t>
  </si>
  <si>
    <t>ETIENNE DIONE</t>
  </si>
  <si>
    <t>KOUNOUNE 775566364</t>
  </si>
  <si>
    <t>PYELONEPHRITE SUR INS REN</t>
  </si>
  <si>
    <t>161H</t>
  </si>
  <si>
    <t>GRD YOFF 779026443</t>
  </si>
  <si>
    <t>PNEUMOPATHIE A STREPTOCOCCUS PNEUMONIAE</t>
  </si>
  <si>
    <t>145H</t>
  </si>
  <si>
    <t>MATHIOYE TOURE</t>
  </si>
  <si>
    <t>PIKINE 777886549</t>
  </si>
  <si>
    <t>MILIAIRE TB</t>
  </si>
  <si>
    <t>AWA THIAM</t>
  </si>
  <si>
    <t>RUFISQUE 771748953</t>
  </si>
  <si>
    <t>TB BIFOCALE/R1</t>
  </si>
  <si>
    <t>163H</t>
  </si>
  <si>
    <t>ABDOUL SY</t>
  </si>
  <si>
    <t>130H</t>
  </si>
  <si>
    <t>FASS MBAO 776476303</t>
  </si>
  <si>
    <t>156H</t>
  </si>
  <si>
    <t>SIRA WOURY DIALLO</t>
  </si>
  <si>
    <t>FANN HOCK 775671890</t>
  </si>
  <si>
    <t>137H</t>
  </si>
  <si>
    <t>KHADY DIOP</t>
  </si>
  <si>
    <t>HLM 765952551</t>
  </si>
  <si>
    <t>TB MULTIRESISTANTE PULM</t>
  </si>
  <si>
    <t>160H</t>
  </si>
  <si>
    <t>LANDING DIEDHIOU</t>
  </si>
  <si>
    <t>CAMP PENAL 779237156</t>
  </si>
  <si>
    <t>98H</t>
  </si>
  <si>
    <t>GNAGNA GUEYE</t>
  </si>
  <si>
    <t>151H</t>
  </si>
  <si>
    <t>MAME THIERNO NDIAYE</t>
  </si>
  <si>
    <t>KOUNOUNE 775542927</t>
  </si>
  <si>
    <t>157H</t>
  </si>
  <si>
    <t>BIRANE SENE</t>
  </si>
  <si>
    <t xml:space="preserve">MARISTE </t>
  </si>
  <si>
    <t>144H</t>
  </si>
  <si>
    <t>AISSATOU</t>
  </si>
  <si>
    <t>GUEDIAWAYE 772715989</t>
  </si>
  <si>
    <t>TB MULTIFOCALE A LOC VERT,PULM,GG</t>
  </si>
  <si>
    <t>123H</t>
  </si>
  <si>
    <t>MARIAMA DIAW</t>
  </si>
  <si>
    <t>LIBERTE 4 /774558389</t>
  </si>
  <si>
    <t>CRYPTOCOCCOSE DISSEMINEE PULM ET NEUROMEN +TB/R1</t>
  </si>
  <si>
    <t>162H</t>
  </si>
  <si>
    <t>DIMINGA DOS SANTOS</t>
  </si>
  <si>
    <t>SANDAGA770861738</t>
  </si>
  <si>
    <t>ZONA OPHTALMIQUE/R1</t>
  </si>
  <si>
    <t>115H</t>
  </si>
  <si>
    <t>HONORE MENDY</t>
  </si>
  <si>
    <t>DIAKHAYE 771160584/775065821</t>
  </si>
  <si>
    <t>139H</t>
  </si>
  <si>
    <t>HENRIETTE THIAM</t>
  </si>
  <si>
    <t>PA U17/776785553</t>
  </si>
  <si>
    <t>ZONA OPHTALMIQUE SUR DIABETE TYPE 2</t>
  </si>
  <si>
    <t>146H</t>
  </si>
  <si>
    <t>MAMADOU CISSE</t>
  </si>
  <si>
    <t>CASTORS 775535871</t>
  </si>
  <si>
    <t>TB BIFOCALE PULM NEUR/R1</t>
  </si>
  <si>
    <t>152H</t>
  </si>
  <si>
    <t>PIKINE 775311604</t>
  </si>
  <si>
    <t>165H</t>
  </si>
  <si>
    <t>ALIOUNE NDAW</t>
  </si>
  <si>
    <t>PIKINE 773465708</t>
  </si>
  <si>
    <t>142H</t>
  </si>
  <si>
    <t>SARATA BODIAN</t>
  </si>
  <si>
    <t>KEUR MASSAR 776513175</t>
  </si>
  <si>
    <t>155H</t>
  </si>
  <si>
    <t>BOUBACAR SIDIBE</t>
  </si>
  <si>
    <t>GRD MBAO 777814948</t>
  </si>
  <si>
    <t>TB PLEUROPULMONIRE/R1</t>
  </si>
  <si>
    <t>148H</t>
  </si>
  <si>
    <t>ANTOINE TENDENG</t>
  </si>
  <si>
    <t>PETIT MBAO 771048688</t>
  </si>
  <si>
    <t>GASTROENTERITE</t>
  </si>
  <si>
    <t>143H</t>
  </si>
  <si>
    <t>SERIGNE MODOU DIONE</t>
  </si>
  <si>
    <t>THIAROYE 776434023</t>
  </si>
  <si>
    <t>PNEUMOPATHIE CIRRHOSE</t>
  </si>
  <si>
    <t>150H</t>
  </si>
  <si>
    <t>BINTA BA</t>
  </si>
  <si>
    <t>7ans</t>
  </si>
  <si>
    <t>TYLEBOBACAR772289527</t>
  </si>
  <si>
    <t>RAGE HUMAINE PROBABLE</t>
  </si>
  <si>
    <t>125H</t>
  </si>
  <si>
    <t>KHADIDIATOU SAMB</t>
  </si>
  <si>
    <t>YEUMBEUL 773527157</t>
  </si>
  <si>
    <t>MILIAIRE TB DISSEMINEE</t>
  </si>
  <si>
    <t>169H</t>
  </si>
  <si>
    <t>PAPE MASSAMBA DIALLO</t>
  </si>
  <si>
    <t>SALY AEROD 7777633984</t>
  </si>
  <si>
    <t>TB MULTIFOCALE PROBABLE</t>
  </si>
  <si>
    <t>140H</t>
  </si>
  <si>
    <t>FASS MBAO774166188</t>
  </si>
  <si>
    <t>131HBIS</t>
  </si>
  <si>
    <t>SALIOU FAYE</t>
  </si>
  <si>
    <t>GOLF SUD 772086990</t>
  </si>
  <si>
    <t>162HBIS</t>
  </si>
  <si>
    <t>AMADOU BAILO DIALLO</t>
  </si>
  <si>
    <t>KEDOUGOU 779153404</t>
  </si>
  <si>
    <t>PNEUMOPATHIE AIGUE BACT,</t>
  </si>
  <si>
    <t>158H</t>
  </si>
  <si>
    <t>158HBIS</t>
  </si>
  <si>
    <t>PAPE MOHAMED FAYE</t>
  </si>
  <si>
    <t>MARISTE 2/776058803</t>
  </si>
  <si>
    <t>FIEVRE TYPHOIDE A SALMONELLE SP</t>
  </si>
  <si>
    <t>CTE ALIOU SO 776524197</t>
  </si>
  <si>
    <t>SAMBA DIA 777298528</t>
  </si>
  <si>
    <t>SEPTICEMIE A STAPHYLOCO. AUREUS METI R</t>
  </si>
  <si>
    <t>170H</t>
  </si>
  <si>
    <t>YEUMBEUL 776344569</t>
  </si>
  <si>
    <t>171H</t>
  </si>
  <si>
    <t>IBRAHIMA DOUKOURE</t>
  </si>
  <si>
    <t>PIKINE 706484841</t>
  </si>
  <si>
    <t>171HBIS</t>
  </si>
  <si>
    <t>ABDOULAYE DIOUCK</t>
  </si>
  <si>
    <t>DIAMGUEN 779974352</t>
  </si>
  <si>
    <t>172H</t>
  </si>
  <si>
    <t>MAMADOU SALIOU BALDE</t>
  </si>
  <si>
    <t>173H</t>
  </si>
  <si>
    <t>CIRE DIAKITE</t>
  </si>
  <si>
    <t>149H</t>
  </si>
  <si>
    <t xml:space="preserve">KALAMO DIATTA </t>
  </si>
  <si>
    <t xml:space="preserve">TIVAWAN PEUL </t>
  </si>
  <si>
    <t>135H</t>
  </si>
  <si>
    <t>GUEULETAPEE776741400</t>
  </si>
  <si>
    <t>TB MULTIFOC./R1 PULM ET NEUROMENING</t>
  </si>
  <si>
    <t>147H</t>
  </si>
  <si>
    <t>MOHAMED ANRAFAT</t>
  </si>
  <si>
    <t>CITE BATRAIN</t>
  </si>
  <si>
    <t>159H</t>
  </si>
  <si>
    <t>MUSSA LY</t>
  </si>
  <si>
    <t>GUEDIAWAYE 778763170</t>
  </si>
  <si>
    <t>168H</t>
  </si>
  <si>
    <t>MAME ANNA NDOUR</t>
  </si>
  <si>
    <t>DIABETE 2</t>
  </si>
  <si>
    <t>DKR PLATEAU 776155327</t>
  </si>
  <si>
    <t>154H</t>
  </si>
  <si>
    <t>ABDOULAKHAT DIAGNE</t>
  </si>
  <si>
    <t>06ans</t>
  </si>
  <si>
    <t>MBOUR 782992811</t>
  </si>
  <si>
    <t>BACTERIEMIE A STAPYLO AUREUS METI R A PE ORL</t>
  </si>
  <si>
    <t>CIRRHOSE DECOMPENSEE SUR MODE ASCITIQUE</t>
  </si>
  <si>
    <t>175H</t>
  </si>
  <si>
    <t>SOULEYMANE DIALLO</t>
  </si>
  <si>
    <t>YEUMBEUL 774816497</t>
  </si>
  <si>
    <t>SPONDILODISCITE TB</t>
  </si>
  <si>
    <t>141H</t>
  </si>
  <si>
    <t>KHADY MBAYE</t>
  </si>
  <si>
    <t>DALIFORT 776100385</t>
  </si>
  <si>
    <t>167H</t>
  </si>
  <si>
    <t>KHADIM SEYE</t>
  </si>
  <si>
    <t>LAC ROSE 774053373</t>
  </si>
  <si>
    <t>TB BIFOCALE PULM ET NEUROMENINGEE</t>
  </si>
  <si>
    <t>AOMI STADE4+DERMOHYPODERMITE BACT.NECROSANTE</t>
  </si>
  <si>
    <t>124H</t>
  </si>
  <si>
    <t>SUD FOIRE 775529026</t>
  </si>
  <si>
    <t>TB MULTRIFOCALE PULM ET OSSEUX</t>
  </si>
  <si>
    <t>BABOU FAYE</t>
  </si>
  <si>
    <t>153H</t>
  </si>
  <si>
    <t>JOAL 763660390</t>
  </si>
  <si>
    <t>TB PULMONAIRE+EMBOLIE PULM/R1</t>
  </si>
  <si>
    <t>179H</t>
  </si>
  <si>
    <t>KHADIDIATOU DIARRA CISSE</t>
  </si>
  <si>
    <t>PA U24/779140167</t>
  </si>
  <si>
    <t>ENCEPHALITE TYPHIQUE</t>
  </si>
  <si>
    <t>HELENE MARIE BOISSY</t>
  </si>
  <si>
    <t>PA U25 775385689</t>
  </si>
  <si>
    <t>177H</t>
  </si>
  <si>
    <t>178H</t>
  </si>
  <si>
    <t>CHEIH ABDOU KHADRE NIAN</t>
  </si>
  <si>
    <t>SICAP 772957338</t>
  </si>
  <si>
    <t>138H</t>
  </si>
  <si>
    <t>CARO GOUDIABY</t>
  </si>
  <si>
    <t>MBOUR 775543942</t>
  </si>
  <si>
    <t>TUMEUR DE L ŒSOPHAGE</t>
  </si>
  <si>
    <t>190H</t>
  </si>
  <si>
    <t>PIERRE GOMIS</t>
  </si>
  <si>
    <t>POINT E 777443480</t>
  </si>
  <si>
    <t>PNEUMOPATHIE COMMUNAUTAIRE</t>
  </si>
  <si>
    <t>189H</t>
  </si>
  <si>
    <t>NZAMBA NAOMIE</t>
  </si>
  <si>
    <t>LIBERTE 6 EXTENS*/778316779</t>
  </si>
  <si>
    <t>MENINGOCOCCEMIE AIGUE AVEC PURPURA</t>
  </si>
  <si>
    <t>155HBIS</t>
  </si>
  <si>
    <t>MAIMOUNA BA</t>
  </si>
  <si>
    <t>PIKINE 774272293</t>
  </si>
  <si>
    <r>
      <rPr>
        <sz val="11"/>
        <color theme="1"/>
        <rFont val="Calibri"/>
        <family val="2"/>
        <scheme val="minor"/>
      </rPr>
      <t>TB BIFOCALE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PULM ET NEUR</t>
    </r>
  </si>
  <si>
    <t>194H</t>
  </si>
  <si>
    <t>NDOUMBE SIBY</t>
  </si>
  <si>
    <t>FASS MBAO 762304789</t>
  </si>
  <si>
    <t>203H</t>
  </si>
  <si>
    <t>MAMADOU MBATHIE</t>
  </si>
  <si>
    <t>GUEDIAWAY 774440141</t>
  </si>
  <si>
    <t>TETANOS AIGU GENRALISE</t>
  </si>
  <si>
    <t>163HBIS2</t>
  </si>
  <si>
    <t>MOUHAMED LAMINE FALL</t>
  </si>
  <si>
    <t>GUEULE TAPE709441021</t>
  </si>
  <si>
    <t>TB PULM ET NEUROMENINGEE/R1</t>
  </si>
  <si>
    <t>199H</t>
  </si>
  <si>
    <t>MOHAMED CAMARA</t>
  </si>
  <si>
    <t>GRD YOFF</t>
  </si>
  <si>
    <t>AVC AVEC ENGAGEMENT</t>
  </si>
  <si>
    <t>201H</t>
  </si>
  <si>
    <t>AWA SYLLA</t>
  </si>
  <si>
    <t>COMICO 2 775922893</t>
  </si>
  <si>
    <t>SEPSIS/R1</t>
  </si>
  <si>
    <t>191H</t>
  </si>
  <si>
    <t>MARTHE TINE</t>
  </si>
  <si>
    <t>NIARRY TALLY 775779320</t>
  </si>
  <si>
    <t>TB BIFOCALE PULM ET GG</t>
  </si>
  <si>
    <t>188H</t>
  </si>
  <si>
    <t>VICENTE DACOSTA</t>
  </si>
  <si>
    <t xml:space="preserve">CAFE DE ROME </t>
  </si>
  <si>
    <t>ABCES PERIANAL FISTULISE+GEA/R2</t>
  </si>
  <si>
    <t>156HBIS</t>
  </si>
  <si>
    <t>MOUHAMED RASSOUL FAYE</t>
  </si>
  <si>
    <t>GOLF SUD 776107721</t>
  </si>
  <si>
    <t>195H</t>
  </si>
  <si>
    <t>ASSANE CHERIF NDOYE</t>
  </si>
  <si>
    <t>BOP RUE6/772317373</t>
  </si>
  <si>
    <r>
      <rPr>
        <b/>
        <sz val="11"/>
        <color theme="1"/>
        <rFont val="Calibri"/>
        <family val="2"/>
        <scheme val="minor"/>
      </rPr>
      <t>NEUROPALU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TDR+ GE-</t>
    </r>
  </si>
  <si>
    <t>196H</t>
  </si>
  <si>
    <t>NDEYE KHADY LY</t>
  </si>
  <si>
    <t>HLM GRD MEDINE 775147006</t>
  </si>
  <si>
    <t>BACTERIEMIE A SALMONELLA SP</t>
  </si>
  <si>
    <t>166H</t>
  </si>
  <si>
    <t>RABIATOU BA</t>
  </si>
  <si>
    <t>BENE TALLY 774094765</t>
  </si>
  <si>
    <t>TB MULTIFOCALE PULM DIGESTIVE ETNEUROMENINGEE</t>
  </si>
  <si>
    <t>183H</t>
  </si>
  <si>
    <t>AWA GNINGUE</t>
  </si>
  <si>
    <t>MEDINA 27X10 /777334189</t>
  </si>
  <si>
    <t>MENINGITE BACTERIENNE/R1</t>
  </si>
  <si>
    <t>CAMPUS SOCIAL 782606253</t>
  </si>
  <si>
    <t>CRYPTOCOCCOSE NEUROM</t>
  </si>
  <si>
    <t>182H</t>
  </si>
  <si>
    <t>MOUSSA COULIBALY</t>
  </si>
  <si>
    <t>RUFISQUE HLM 778900626</t>
  </si>
  <si>
    <t>TB BIFOCALE PULM ET RACHIDIEN</t>
  </si>
  <si>
    <t>181H</t>
  </si>
  <si>
    <t xml:space="preserve">DKR </t>
  </si>
  <si>
    <t>DICKO NIANG</t>
  </si>
  <si>
    <t>MENINGTE BACT DECAPITEE</t>
  </si>
  <si>
    <t>198H</t>
  </si>
  <si>
    <t>AMINATA NDIAYE</t>
  </si>
  <si>
    <t>THIAROYE 770405789</t>
  </si>
  <si>
    <t>185H</t>
  </si>
  <si>
    <t>YEUMBEUL SUD 776938071</t>
  </si>
  <si>
    <t>187H</t>
  </si>
  <si>
    <t>KADIATOU BAH</t>
  </si>
  <si>
    <t>AU U12/706973910</t>
  </si>
  <si>
    <t>MENINGOENCEPHALIT BACT</t>
  </si>
  <si>
    <t>174H</t>
  </si>
  <si>
    <t>ABDOUL AZIZ DIOP</t>
  </si>
  <si>
    <t>MARISTE 776176304</t>
  </si>
  <si>
    <t>134H</t>
  </si>
  <si>
    <t>KHALIFA SEYE</t>
  </si>
  <si>
    <t>FATICK 776546964</t>
  </si>
  <si>
    <t>204H</t>
  </si>
  <si>
    <t>LAMINE NDIAYE</t>
  </si>
  <si>
    <t>GRD YOFF 775633713</t>
  </si>
  <si>
    <t>176H</t>
  </si>
  <si>
    <t>NDEYE THIANE DIENE</t>
  </si>
  <si>
    <t>THIAROYE 778245555</t>
  </si>
  <si>
    <t>186H</t>
  </si>
  <si>
    <t>MASSAMBA NIANG</t>
  </si>
  <si>
    <t>MBOUR 770509234</t>
  </si>
  <si>
    <t>PAU10/774444476</t>
  </si>
  <si>
    <t>TBMULTIFOCALE PULM ET GG</t>
  </si>
  <si>
    <t>219H</t>
  </si>
  <si>
    <t>222H</t>
  </si>
  <si>
    <t>AMINATA DIACKO</t>
  </si>
  <si>
    <t>THIES 774022992</t>
  </si>
  <si>
    <t xml:space="preserve">TB MULTIFOCALE/R1 </t>
  </si>
  <si>
    <t xml:space="preserve">FATIM FALL </t>
  </si>
  <si>
    <t>KEUR MASSAR 780167298</t>
  </si>
  <si>
    <t>PROBABLE MLDIE DE KAPOSI</t>
  </si>
  <si>
    <t>206H</t>
  </si>
  <si>
    <t>MADJIGUENE NDIAYE</t>
  </si>
  <si>
    <t>HLM GRD YOFF 775239407</t>
  </si>
  <si>
    <t>213H</t>
  </si>
  <si>
    <t>MBAYE MANE MBAYE</t>
  </si>
  <si>
    <t>MEDINA GOUNASS 772741934</t>
  </si>
  <si>
    <t>192H</t>
  </si>
  <si>
    <t>BINETA DIALLO</t>
  </si>
  <si>
    <t>KOUNOUNE 781379967</t>
  </si>
  <si>
    <t>221H</t>
  </si>
  <si>
    <t>PETERSEN 778650295</t>
  </si>
  <si>
    <t>TB PULM PROBABLE/R1</t>
  </si>
  <si>
    <t>209H</t>
  </si>
  <si>
    <t>ANNE SIDIBE</t>
  </si>
  <si>
    <t>OUSET FOIRE 778569265</t>
  </si>
  <si>
    <t>BACTERIEMIE A PE X/MYOM</t>
  </si>
  <si>
    <t>214H</t>
  </si>
  <si>
    <t>AWA KANY SOCK</t>
  </si>
  <si>
    <t>NORD FOIRE 778635151</t>
  </si>
  <si>
    <t>NEOPLASIE DE L ENDOMETRE</t>
  </si>
  <si>
    <t>200H</t>
  </si>
  <si>
    <t>BINTA SEBOR</t>
  </si>
  <si>
    <t>PIKINE TALLY BOU MACK 773730765</t>
  </si>
  <si>
    <t>TB MULTIFOC+SEPSIS A PE GYNECO</t>
  </si>
  <si>
    <t>TB GG ET NEUROMENING</t>
  </si>
  <si>
    <t>TUMEUR VESICULE BILIAIRE</t>
  </si>
  <si>
    <t>DALAL DIAM</t>
  </si>
  <si>
    <t>202H</t>
  </si>
  <si>
    <t>MAIMOUNA TOURE</t>
  </si>
  <si>
    <t>RUFISQUE 782603925/776322381</t>
  </si>
  <si>
    <t>223H</t>
  </si>
  <si>
    <t>HENRY MICHEL MANE</t>
  </si>
  <si>
    <t>PLEURESIE EXSUDATIVE</t>
  </si>
  <si>
    <t>220H</t>
  </si>
  <si>
    <t>KHAR YALLA 771249154</t>
  </si>
  <si>
    <t>218H</t>
  </si>
  <si>
    <t>BIRAME PATHE BARRY</t>
  </si>
  <si>
    <t>HLM LAS PALMAS 783893433</t>
  </si>
  <si>
    <t>ENDOCARDITE INFECTIEUSE</t>
  </si>
  <si>
    <t>217H</t>
  </si>
  <si>
    <t>MOUHAMAD LAMINE COLY</t>
  </si>
  <si>
    <t>PA 773733663</t>
  </si>
  <si>
    <t>215H</t>
  </si>
  <si>
    <t>SADIALY SEYDI</t>
  </si>
  <si>
    <t>PA 783252951</t>
  </si>
  <si>
    <t>216H</t>
  </si>
  <si>
    <t>MOUHAMED NDIAYE SOW</t>
  </si>
  <si>
    <t>KEUR MASSAR 777260325</t>
  </si>
  <si>
    <t>212H</t>
  </si>
  <si>
    <t>MAME FANTA DABO</t>
  </si>
  <si>
    <t>211H</t>
  </si>
  <si>
    <t>AWA DIOUM GUISSE</t>
  </si>
  <si>
    <t>210H</t>
  </si>
  <si>
    <t>OUSMANE FADE</t>
  </si>
  <si>
    <t>ZONE DE CAPTAGE 781307767</t>
  </si>
  <si>
    <t>208H</t>
  </si>
  <si>
    <t xml:space="preserve">OUSSEYNOU SY </t>
  </si>
  <si>
    <t>207H</t>
  </si>
  <si>
    <t>BASSIROU MBAYE</t>
  </si>
  <si>
    <t>LOUGA  778431102</t>
  </si>
  <si>
    <t>205H</t>
  </si>
  <si>
    <t>MARIAMA TRAORE</t>
  </si>
  <si>
    <t>MAMELLES 774348686</t>
  </si>
  <si>
    <t>197H</t>
  </si>
  <si>
    <t>MOHAMED FALL</t>
  </si>
  <si>
    <t>BAYAKH 762089881</t>
  </si>
  <si>
    <t>193H</t>
  </si>
  <si>
    <t>SOULEYMANE SANGARE</t>
  </si>
  <si>
    <t>184H</t>
  </si>
  <si>
    <t>SERIGNE ABDOU FAYE</t>
  </si>
  <si>
    <t>THIAROYE 771485564</t>
  </si>
  <si>
    <t>180H</t>
  </si>
  <si>
    <t xml:space="preserve">MAMADOU HANNE </t>
  </si>
  <si>
    <t>MARISTE 785394435</t>
  </si>
  <si>
    <t>PNEUMOPATHIE AGB</t>
  </si>
  <si>
    <t>224H</t>
  </si>
  <si>
    <t>215HBIS</t>
  </si>
  <si>
    <t>IBRAHIMA DIOP</t>
  </si>
  <si>
    <t>OUAKAM 771514685</t>
  </si>
  <si>
    <t>225H</t>
  </si>
  <si>
    <t>226H</t>
  </si>
  <si>
    <t>227H</t>
  </si>
  <si>
    <t>228H</t>
  </si>
  <si>
    <t>229H</t>
  </si>
  <si>
    <t>230H</t>
  </si>
  <si>
    <t>231H</t>
  </si>
  <si>
    <t>ABDOURAHMANE BALDE</t>
  </si>
  <si>
    <t>GUINEE/ SINDIA 775289314</t>
  </si>
  <si>
    <t>TB BIFOCALE PULM ET GG/ R1</t>
  </si>
  <si>
    <t>MASSAMBA BA</t>
  </si>
  <si>
    <t xml:space="preserve">DAKAR </t>
  </si>
  <si>
    <t>TB PLEUROPULMONAIRE</t>
  </si>
  <si>
    <t>AWA FATY</t>
  </si>
  <si>
    <t>THIAROYE 785242125</t>
  </si>
  <si>
    <t>PROCESSUS EXPANSIF INTRA CRANIEN</t>
  </si>
  <si>
    <t>MENINGOENCEPHALITE HER</t>
  </si>
  <si>
    <t>MENINGOENCEPHALIT TB/R1</t>
  </si>
  <si>
    <t>SEPSIS A PE GYNECO A LOC PULM ET NEURO</t>
  </si>
  <si>
    <t>GUINEE CONAKRY 750195796</t>
  </si>
  <si>
    <t>TB PULM +ASPERGILLOSE/R1</t>
  </si>
  <si>
    <t>MATOUROU SECK</t>
  </si>
  <si>
    <t>KEUR MASSAR 784372047</t>
  </si>
  <si>
    <t>TOXIDERMIE BULLEUSE SURINFECTEE</t>
  </si>
  <si>
    <t>ALMADIES 776659191/783797376</t>
  </si>
  <si>
    <t>SURINFECTION VIRALE A LOC PULM</t>
  </si>
  <si>
    <t xml:space="preserve"> ENDOCARDITE INFECTIEUSE A GERME NON IDENTIFIE </t>
  </si>
  <si>
    <t>243H</t>
  </si>
  <si>
    <t>HOUREYE DEMBA DIALLO</t>
  </si>
  <si>
    <t>GIBRALTAR</t>
  </si>
  <si>
    <t>DERMOHYPODERMITE BACT. NON NECROS.</t>
  </si>
  <si>
    <t>238H</t>
  </si>
  <si>
    <t>MOUHAMADOU LAMINE MANE</t>
  </si>
  <si>
    <t>08ans</t>
  </si>
  <si>
    <t>PIKINE 776408177</t>
  </si>
  <si>
    <t>NDEYE DIENE</t>
  </si>
  <si>
    <t>YENN 771614209</t>
  </si>
  <si>
    <t>ENCEPHALITE BACT OU VIRALE</t>
  </si>
  <si>
    <t>235H</t>
  </si>
  <si>
    <t>NDIARE GUEYE</t>
  </si>
  <si>
    <t>OUEST FOIRE 775504515</t>
  </si>
  <si>
    <t xml:space="preserve">FIEVRE TYPHOIDE </t>
  </si>
  <si>
    <t>244H</t>
  </si>
  <si>
    <t>MAMADOU ALPHA BA</t>
  </si>
  <si>
    <t>GRD YOFF  772333060</t>
  </si>
  <si>
    <r>
      <rPr>
        <b/>
        <sz val="11"/>
        <color theme="1"/>
        <rFont val="Calibri"/>
        <family val="2"/>
        <scheme val="minor"/>
      </rPr>
      <t xml:space="preserve">PALUDISME GRAVE </t>
    </r>
    <r>
      <rPr>
        <b/>
        <sz val="11"/>
        <color rgb="FFFF0000"/>
        <rFont val="Calibri"/>
        <family val="2"/>
        <scheme val="minor"/>
      </rPr>
      <t>GE+</t>
    </r>
  </si>
  <si>
    <t>233H</t>
  </si>
  <si>
    <t>BANNA SONKO</t>
  </si>
  <si>
    <t>PETIT MBAO 778811911</t>
  </si>
  <si>
    <t>ZIGUINCHOR  788649908</t>
  </si>
  <si>
    <t>249H</t>
  </si>
  <si>
    <t>DJIBRIL DIEYE</t>
  </si>
  <si>
    <t>239H</t>
  </si>
  <si>
    <t xml:space="preserve">THIERNO HABIB BA </t>
  </si>
  <si>
    <t>GUEDIAWAYE 772066256</t>
  </si>
  <si>
    <t>COCCIDIOSES INTESTINALES/R1</t>
  </si>
  <si>
    <t>YACINE NDOUR</t>
  </si>
  <si>
    <t>YENE                               708485626</t>
  </si>
  <si>
    <t>PNEUMOPATHIE AIGUE COMMUNAUTAIRE/R1</t>
  </si>
  <si>
    <t>236H</t>
  </si>
  <si>
    <t>MADELEINE BA</t>
  </si>
  <si>
    <t>NORD FOIRE 772483157</t>
  </si>
  <si>
    <t>TB PULM ET DIGESTIVE PROBABLE/R1</t>
  </si>
  <si>
    <t>245H</t>
  </si>
  <si>
    <t>YEUMBEUL 772596273</t>
  </si>
  <si>
    <t>TB PULMONAIRE  SUR DIABETE</t>
  </si>
  <si>
    <t>HEMORRAGIE MENINGEE</t>
  </si>
  <si>
    <t>HLM1 /772383898/776566864</t>
  </si>
  <si>
    <t>232H</t>
  </si>
  <si>
    <t>HAWA THIAM</t>
  </si>
  <si>
    <t>THIAROYE 776548031</t>
  </si>
  <si>
    <t>128H</t>
  </si>
  <si>
    <t>FATOUMATA BINTOU DIALLO</t>
  </si>
  <si>
    <t>GRD YOFF 782577302</t>
  </si>
  <si>
    <t>MOUSSA KANE</t>
  </si>
  <si>
    <t>GRD YOFF 772616747</t>
  </si>
  <si>
    <t>PNEUMOCYSTOSE PULMONAIRE</t>
  </si>
  <si>
    <t>234H</t>
  </si>
  <si>
    <t>DIABEL DIOP</t>
  </si>
  <si>
    <t>MBOUR 775104045</t>
  </si>
  <si>
    <t>237H</t>
  </si>
  <si>
    <t>AMADOU GUEYE</t>
  </si>
  <si>
    <t>LIBERTE 4/ 774407993</t>
  </si>
  <si>
    <t>240H</t>
  </si>
  <si>
    <t>241H</t>
  </si>
  <si>
    <t>GUINEE 771714849</t>
  </si>
  <si>
    <t>242H</t>
  </si>
  <si>
    <t>ABDOU KHADRE SOW</t>
  </si>
  <si>
    <t xml:space="preserve">KEUR MBAYE FALL </t>
  </si>
  <si>
    <t>246H</t>
  </si>
  <si>
    <t>BOUBACAR FAYE</t>
  </si>
  <si>
    <t>247H</t>
  </si>
  <si>
    <t>CITE APIX 775323235</t>
  </si>
  <si>
    <t>248H</t>
  </si>
  <si>
    <t>MADJIGUENE SAMBA BEYE</t>
  </si>
  <si>
    <t>GUEDIAWAYE 773611091</t>
  </si>
  <si>
    <t>HOTEL CAFE DE ROME 787558199</t>
  </si>
  <si>
    <t>250H</t>
  </si>
  <si>
    <t xml:space="preserve">ISABELLE VERONIQUE DIATTA </t>
  </si>
  <si>
    <t>JET D EAU 775755360</t>
  </si>
  <si>
    <t>251H</t>
  </si>
  <si>
    <t>MOUSSA DIALLO</t>
  </si>
  <si>
    <t>252H</t>
  </si>
  <si>
    <t>ALIA KEITA SOUMAH</t>
  </si>
  <si>
    <t>4ans</t>
  </si>
  <si>
    <t>THIAROYE 773105439</t>
  </si>
  <si>
    <t>253H</t>
  </si>
  <si>
    <t>ISSA SALL</t>
  </si>
  <si>
    <t>TOUBA 701018457</t>
  </si>
  <si>
    <t>254H</t>
  </si>
  <si>
    <t>255H</t>
  </si>
  <si>
    <t>FATOU KINE SAMB</t>
  </si>
  <si>
    <t>256H</t>
  </si>
  <si>
    <t>AWA FAYE</t>
  </si>
  <si>
    <t>257H</t>
  </si>
  <si>
    <t>MAME DIARRA BOUSSO KA</t>
  </si>
  <si>
    <t>CITE KEUR DAMEL 775062174</t>
  </si>
  <si>
    <t>258H</t>
  </si>
  <si>
    <t>259H</t>
  </si>
  <si>
    <t xml:space="preserve">GUINEE </t>
  </si>
  <si>
    <t>EMBOLIE PULMONAIRE</t>
  </si>
  <si>
    <t>260H</t>
  </si>
  <si>
    <t>VICENTE GASTON MENDY</t>
  </si>
  <si>
    <t>GRD YOFF 774348022</t>
  </si>
  <si>
    <t>261H</t>
  </si>
  <si>
    <t>LIBERTE 4/775079395</t>
  </si>
  <si>
    <t>262H</t>
  </si>
  <si>
    <t>FATOU BINTOU DIAW</t>
  </si>
  <si>
    <t>263H</t>
  </si>
  <si>
    <t>PAPE MBAYE</t>
  </si>
  <si>
    <t>TOUBA MBACKE 773777281</t>
  </si>
  <si>
    <t>PNEUMOPATHIE BACTERIENNE/R2</t>
  </si>
  <si>
    <t>DEURGUENE MBAYE</t>
  </si>
  <si>
    <t>KEUR MALAMINE770849051</t>
  </si>
  <si>
    <t>TB MULTIFOCALE PULM+PERITONEALE</t>
  </si>
  <si>
    <t>RUFISQUE 785233482</t>
  </si>
  <si>
    <t>TB MULTIFOCALE NEUROMENINGEE</t>
  </si>
  <si>
    <t>TB PULM/R1+PNEUMOPATHIE A PSEUDOMONAS ET KLEBSIELLA PNEUMONIAE</t>
  </si>
  <si>
    <t>IO A LOC DIGESTIVE/R2</t>
  </si>
  <si>
    <t>DIOURBEL 773469564</t>
  </si>
  <si>
    <t>SEPSIS A PE DIGESTIVE  ET URINAIRE</t>
  </si>
  <si>
    <t>AVCI ARTERE SYLVIENNE GAUCHE</t>
  </si>
  <si>
    <t>MAMADOU LAMARANA LY</t>
  </si>
  <si>
    <t>dcd</t>
  </si>
  <si>
    <t>ambroise diouf</t>
  </si>
  <si>
    <t>keur massar</t>
  </si>
  <si>
    <t>MALADIE DE KAPOSI/R1</t>
  </si>
  <si>
    <t>264H</t>
  </si>
  <si>
    <t>271H</t>
  </si>
  <si>
    <t>ADELE MENDY</t>
  </si>
  <si>
    <t>PIKINE 771597135</t>
  </si>
  <si>
    <t>TOXOPLASMOSE CEREBRALE/R1</t>
  </si>
  <si>
    <t>280H</t>
  </si>
  <si>
    <t>293H</t>
  </si>
  <si>
    <t>MALAMINE SENGHOR</t>
  </si>
  <si>
    <t>CITE MBAKIOU FAY 770902479 MAMEL</t>
  </si>
  <si>
    <t>TB BIFOCALE /R1</t>
  </si>
  <si>
    <t>289H</t>
  </si>
  <si>
    <t>EL HADJI BABACAR FALL</t>
  </si>
  <si>
    <t>CITE SONATEL YOFF 775090235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</si>
  <si>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</t>
    </r>
  </si>
  <si>
    <t>297H</t>
  </si>
  <si>
    <t>KHADIDIATOU DIABO</t>
  </si>
  <si>
    <t>PARCELLE/FADIA 773018996</t>
  </si>
  <si>
    <t>295H</t>
  </si>
  <si>
    <t>CESAR COLY</t>
  </si>
  <si>
    <t>OUAKAM 771501667</t>
  </si>
  <si>
    <t>281H</t>
  </si>
  <si>
    <t>BASSIROU DIAKHATE</t>
  </si>
  <si>
    <t>RUFISQUE 772575264</t>
  </si>
  <si>
    <t>294H</t>
  </si>
  <si>
    <t>ROLLIE LESSIA MOTOUNOU</t>
  </si>
  <si>
    <t>OUAKAM 774216161</t>
  </si>
  <si>
    <t>GRIPPE</t>
  </si>
  <si>
    <t>292H</t>
  </si>
  <si>
    <t>MODOU SY</t>
  </si>
  <si>
    <t>PIKINE TALY BOU BESS 773384449</t>
  </si>
  <si>
    <t>TB BIFOCALE PULM NEUROME</t>
  </si>
  <si>
    <t>284H</t>
  </si>
  <si>
    <t>JUSTIN MENDY</t>
  </si>
  <si>
    <t>CITE BISSAP 777012493</t>
  </si>
  <si>
    <t>MENINGOENCEPHALITE INFECT</t>
  </si>
  <si>
    <t>272H</t>
  </si>
  <si>
    <t>MARAME SECK</t>
  </si>
  <si>
    <t>HLM 4/ 775501818</t>
  </si>
  <si>
    <t>PNEUMOPATHIE DYSPNEISANTE</t>
  </si>
  <si>
    <t>GERIATRIE</t>
  </si>
  <si>
    <t>MAME DIARRA  DIARRA</t>
  </si>
  <si>
    <t>ALMADIES 2/ 783765247</t>
  </si>
  <si>
    <t>276H</t>
  </si>
  <si>
    <t>CHEIKH SADIBOU AIDARA</t>
  </si>
  <si>
    <t>MBACKE 781685494</t>
  </si>
  <si>
    <t>TB MULTIFOCALE PERITON.PULM ET HEPATIQ</t>
  </si>
  <si>
    <t>286H</t>
  </si>
  <si>
    <t>ANNA DIAKHATA</t>
  </si>
  <si>
    <t>YEUMBEUL 767465202</t>
  </si>
  <si>
    <t>HLM   771307457</t>
  </si>
  <si>
    <t>PNEUMOPATHIE INTERSTIELLE DIFFUSE POST SARCOV2</t>
  </si>
  <si>
    <t>BEN TALLY/ 776316431</t>
  </si>
  <si>
    <t>NGOR 773072249</t>
  </si>
  <si>
    <t>TB PULM ET NEUROMEN COMPLIQ AVC I</t>
  </si>
  <si>
    <t>267H</t>
  </si>
  <si>
    <t>SAMBA NGOR SALL</t>
  </si>
  <si>
    <t>THIAROYE SUR MER 773024170</t>
  </si>
  <si>
    <t>OESOPHAGITE INFECTIEUSE +INFECTION URINAIRE</t>
  </si>
  <si>
    <t>PA CITE FADIA  776435861</t>
  </si>
  <si>
    <t>270H</t>
  </si>
  <si>
    <t>EL HADJ MBAYE NDIAYE</t>
  </si>
  <si>
    <t>BEL AIR 778611436</t>
  </si>
  <si>
    <t>273H</t>
  </si>
  <si>
    <t>IBRAHIMA OMAR NARE</t>
  </si>
  <si>
    <t>07ans</t>
  </si>
  <si>
    <t>PIKINE 705117435</t>
  </si>
  <si>
    <r>
      <rPr>
        <b/>
        <sz val="11"/>
        <color theme="1"/>
        <rFont val="Calibri"/>
        <family val="2"/>
        <scheme val="minor"/>
      </rPr>
      <t>PALU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 xml:space="preserve"> +SPSIS BUC.</t>
    </r>
  </si>
  <si>
    <t>HLM 1/776315745</t>
  </si>
  <si>
    <t>FIEVRE TYPHOIDE AU PREMIER SEPTENAIRE</t>
  </si>
  <si>
    <t>MALIKA KEUR MASSAR 784672502</t>
  </si>
  <si>
    <r>
      <rPr>
        <b/>
        <sz val="11"/>
        <color theme="1"/>
        <rFont val="Calibri"/>
        <family val="2"/>
        <scheme val="minor"/>
      </rPr>
      <t>PALU SIMPLE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TDR+</t>
    </r>
    <r>
      <rPr>
        <sz val="11"/>
        <color theme="1"/>
        <rFont val="Calibri"/>
        <family val="2"/>
        <scheme val="minor"/>
      </rPr>
      <t xml:space="preserve"> ET SYNDROME DRESS</t>
    </r>
  </si>
  <si>
    <t>287H</t>
  </si>
  <si>
    <t>GUINEE  788762441</t>
  </si>
  <si>
    <t>MILIAIRE TB R1+VHB</t>
  </si>
  <si>
    <t>LEUCOPATHIE VASCULAIRE KAPOSI PROBABLE /R1</t>
  </si>
  <si>
    <t>TB BIFOCALE PULM + PERITONEALE</t>
  </si>
  <si>
    <t>278H</t>
  </si>
  <si>
    <t>MENINGOENCEPHALITE TB/R1</t>
  </si>
  <si>
    <t>303H</t>
  </si>
  <si>
    <t>AMATH THIAM</t>
  </si>
  <si>
    <t>CRISE D ASTHME DECOMPENSEE SUR PNEUMOPATHIE GB</t>
  </si>
  <si>
    <t>299H</t>
  </si>
  <si>
    <t>CAMBERENE 777469217</t>
  </si>
  <si>
    <t>MENINGITE VIRALE PROBABLE</t>
  </si>
  <si>
    <t>ORL</t>
  </si>
  <si>
    <t>ABCES RETROPHARYNGEE</t>
  </si>
  <si>
    <t>274H</t>
  </si>
  <si>
    <t>CHEIKH KA</t>
  </si>
  <si>
    <t>DAARA DJOLOF 775054957</t>
  </si>
  <si>
    <t>305H</t>
  </si>
  <si>
    <t>GUEDIAWAYE 775745827</t>
  </si>
  <si>
    <t>282H</t>
  </si>
  <si>
    <t>MOUSSA OUATTARA</t>
  </si>
  <si>
    <t>HLM 780193912</t>
  </si>
  <si>
    <t>ERYSIPELE</t>
  </si>
  <si>
    <t>269H</t>
  </si>
  <si>
    <t>MAMADOU SENE</t>
  </si>
  <si>
    <t>THIAROYE GARE 776543533</t>
  </si>
  <si>
    <t>SD D ACTIVATION LYMPHOHISTOCYTAIRE</t>
  </si>
  <si>
    <t>288H</t>
  </si>
  <si>
    <t>MARIEME BA</t>
  </si>
  <si>
    <t>MBOUR 774096158</t>
  </si>
  <si>
    <t>TB PULM+CANDIDOSE VAGINALE/R1</t>
  </si>
  <si>
    <t>266H</t>
  </si>
  <si>
    <t>DOMINIQUE MILIMINO</t>
  </si>
  <si>
    <t>MEDINA RUE 22 779526555</t>
  </si>
  <si>
    <t>OESOPHAGITE A CMV/R1</t>
  </si>
  <si>
    <t>265H</t>
  </si>
  <si>
    <t>NGONE NDIAYE</t>
  </si>
  <si>
    <t>HLM 1/775411738</t>
  </si>
  <si>
    <t>SEPSIS A PE GYNECO ET LOC NEUROLOGIQUE</t>
  </si>
  <si>
    <t>304H</t>
  </si>
  <si>
    <t>300H</t>
  </si>
  <si>
    <t>CHERIFOU LAYE DIALLO</t>
  </si>
  <si>
    <t>TIVOUANE PEULH 779598133</t>
  </si>
  <si>
    <t>ASTA NDIAYE</t>
  </si>
  <si>
    <t>THIAROYEGARE 774041848</t>
  </si>
  <si>
    <t>TB MULTIFOCALE PLEURALE + PERITONEALE</t>
  </si>
  <si>
    <t>301H</t>
  </si>
  <si>
    <t>BINETOU RASSOUL FAYE</t>
  </si>
  <si>
    <t>SEPTICEMIE A E COLI A PE URINAIRE</t>
  </si>
  <si>
    <t>HLM  776492711</t>
  </si>
  <si>
    <t>279H</t>
  </si>
  <si>
    <t>FATOUMATA NDIAYE</t>
  </si>
  <si>
    <t>SICAP MBAO 776290470</t>
  </si>
  <si>
    <t>290H</t>
  </si>
  <si>
    <t>ABDOU RAHMANE BA</t>
  </si>
  <si>
    <t>OUAKAM 789503426</t>
  </si>
  <si>
    <t>SALIMATA DOUCOURE</t>
  </si>
  <si>
    <t>PIKINE 778132394</t>
  </si>
  <si>
    <t>TB/R1 COMPLIQUE D UNE SURINFECTION BACT,</t>
  </si>
  <si>
    <t>307H</t>
  </si>
  <si>
    <t>MAREME SOW</t>
  </si>
  <si>
    <t>THIES 771778718</t>
  </si>
  <si>
    <t>DERMOHYPODERMITE BACT. NON NECROSANTE</t>
  </si>
  <si>
    <t>306H</t>
  </si>
  <si>
    <t>MOUHAMED  BA</t>
  </si>
  <si>
    <t>OUAKAM 775973232</t>
  </si>
  <si>
    <t>TUMEUR DE LA PROSTATE/R1</t>
  </si>
  <si>
    <t>268H</t>
  </si>
  <si>
    <t>SIDY MAKHTAR DIENG</t>
  </si>
  <si>
    <t>???? 775389109</t>
  </si>
  <si>
    <t>VARICELLE</t>
  </si>
  <si>
    <t>275H</t>
  </si>
  <si>
    <t>BAMBA DABO</t>
  </si>
  <si>
    <t>KEUR MASSAR 777201738</t>
  </si>
  <si>
    <t>277H</t>
  </si>
  <si>
    <t>SNEIB MAYABA</t>
  </si>
  <si>
    <t>MAURITANIE 776658263</t>
  </si>
  <si>
    <t>TB NEUROMENINGEE</t>
  </si>
  <si>
    <t>283H</t>
  </si>
  <si>
    <t xml:space="preserve">YACINE DIONE </t>
  </si>
  <si>
    <t>285H</t>
  </si>
  <si>
    <t>291H</t>
  </si>
  <si>
    <t>NDEYE KHADY NDOYE</t>
  </si>
  <si>
    <t>PIKINE 782529883</t>
  </si>
  <si>
    <t>296H</t>
  </si>
  <si>
    <t xml:space="preserve">OUMAR SADIA </t>
  </si>
  <si>
    <t>DIEUPPEUL 772673533</t>
  </si>
  <si>
    <t>298H</t>
  </si>
  <si>
    <t xml:space="preserve">AMADOU BA </t>
  </si>
  <si>
    <t>KEUR MASSAR 775485771</t>
  </si>
  <si>
    <t>302H</t>
  </si>
  <si>
    <t>FATOUMATA SAMBA DIALLO</t>
  </si>
  <si>
    <t>308H</t>
  </si>
  <si>
    <t>BIRAME NDIAYE DIOP</t>
  </si>
  <si>
    <t>RUFISQUE 778725524</t>
  </si>
  <si>
    <t>309H</t>
  </si>
  <si>
    <t>CHEIKHOU KANE</t>
  </si>
  <si>
    <t>MERMOZ CTE ENSEIGNANT 771487961</t>
  </si>
  <si>
    <t>310H</t>
  </si>
  <si>
    <t>IBRAHIMA KANE</t>
  </si>
  <si>
    <t>311H</t>
  </si>
  <si>
    <t>MAHYOULA SONKON</t>
  </si>
  <si>
    <t>REUBEUSS 775408636</t>
  </si>
  <si>
    <t>312H</t>
  </si>
  <si>
    <t>MADIOR KANTEYE</t>
  </si>
  <si>
    <t>PA 772193361</t>
  </si>
  <si>
    <t>313H</t>
  </si>
  <si>
    <t>MBAYE GAYE</t>
  </si>
  <si>
    <t>314H</t>
  </si>
  <si>
    <t>ANTA FALL</t>
  </si>
  <si>
    <t>GRD MBAO 775789652</t>
  </si>
  <si>
    <t>315H</t>
  </si>
  <si>
    <t>MOUHAMADOU MANSUR SY</t>
  </si>
  <si>
    <t>YOFF 772386747</t>
  </si>
  <si>
    <t>316H</t>
  </si>
  <si>
    <t>ABDOULAYE BARRY</t>
  </si>
  <si>
    <t>DIAMNIADIO 779881200</t>
  </si>
  <si>
    <t>317H</t>
  </si>
  <si>
    <t>MILLIMINO DOMINGO</t>
  </si>
  <si>
    <t>MEDINA RUE 22 779526533</t>
  </si>
  <si>
    <t xml:space="preserve"> HBP PYELONEPHRITE A E COLI</t>
  </si>
  <si>
    <t>CŒUR PULM. CHRONIQUE DECOMPENSE EN INSUFF. CARDIAQ</t>
  </si>
  <si>
    <t>OESOPHAGITE SUB AIGUE ULCEREE/R1</t>
  </si>
  <si>
    <t>CITE ENSEIGNANT 775285713</t>
  </si>
  <si>
    <t>COCCIDIOSE PROBABLE/R1</t>
  </si>
  <si>
    <t>TIVOUANE 767854966</t>
  </si>
  <si>
    <t>BPCO DECOMPENSEE/R1</t>
  </si>
  <si>
    <r>
      <rPr>
        <b/>
        <sz val="11"/>
        <color theme="1"/>
        <rFont val="Calibri"/>
        <family val="2"/>
        <scheme val="minor"/>
      </rPr>
      <t xml:space="preserve">PALUDISME GRAVE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</t>
    </r>
  </si>
  <si>
    <t>DIARRHEE DUE AU COCCIDIOSE /R1</t>
  </si>
  <si>
    <t>NEO TETE PANCREAS /R1</t>
  </si>
  <si>
    <t>312HBIS</t>
  </si>
  <si>
    <t>DAHARA DJOLOF</t>
  </si>
  <si>
    <t>PYOLENEPHRITE GCHE A ESCHERICHIA COLI</t>
  </si>
  <si>
    <t>UROLOGIE</t>
  </si>
  <si>
    <t>243Hbis</t>
  </si>
  <si>
    <t>318H</t>
  </si>
  <si>
    <t>348H</t>
  </si>
  <si>
    <t>AISSATOU TOURE</t>
  </si>
  <si>
    <t>HLM3/  776570356</t>
  </si>
  <si>
    <t>PYELONEPRITE AIGUE SIMPLE</t>
  </si>
  <si>
    <t>THIAROYE GARE 775744494</t>
  </si>
  <si>
    <t xml:space="preserve">TB MULTIFOCALE+LUPUS </t>
  </si>
  <si>
    <t>326H</t>
  </si>
  <si>
    <t>KOLOU MARTINE KOIVOGUI</t>
  </si>
  <si>
    <t>GUINEE 787162611</t>
  </si>
  <si>
    <t>HERPES GENITAL/R1+R2</t>
  </si>
  <si>
    <t>322H</t>
  </si>
  <si>
    <t>CATY MBAYE KOUATE</t>
  </si>
  <si>
    <t>DIOR 775262017</t>
  </si>
  <si>
    <t>LYMPHOME PLASMOCYTAIRE</t>
  </si>
  <si>
    <t>345H</t>
  </si>
  <si>
    <t>COUNA KANE</t>
  </si>
  <si>
    <t>CITE FADIA 776549503</t>
  </si>
  <si>
    <t>SD GRIPPAL</t>
  </si>
  <si>
    <t>341H</t>
  </si>
  <si>
    <t>ALINE CORREA</t>
  </si>
  <si>
    <t>MAMELLES 775594828/706395151</t>
  </si>
  <si>
    <t>335H</t>
  </si>
  <si>
    <t>ALASSANE DIALLO</t>
  </si>
  <si>
    <t>LIBERTE 5/ 785907234/777904612</t>
  </si>
  <si>
    <t>BACTERIEMIE A STAPH AUREUS</t>
  </si>
  <si>
    <t>MENINGOENCEPH. INFECTIEUS</t>
  </si>
  <si>
    <t>325H</t>
  </si>
  <si>
    <t>SICAP BAOBAB 780178680</t>
  </si>
  <si>
    <t>MILIAIRE HEMATOGENE TB</t>
  </si>
  <si>
    <t>331H</t>
  </si>
  <si>
    <t>MAIMOUNA SOW</t>
  </si>
  <si>
    <t>KEUR MASSAR 765510401</t>
  </si>
  <si>
    <t>VASCULARITE PROBABLE COMPLIQUE COMA ACIDO CETOSIQUE</t>
  </si>
  <si>
    <t>PERITONITE POST PONCTION BIOPSIE HEPATIQUE</t>
  </si>
  <si>
    <t>324H</t>
  </si>
  <si>
    <t>DJIBRIL SOW</t>
  </si>
  <si>
    <t>POINT E 779920763/772018045</t>
  </si>
  <si>
    <t>PNEUMPATHIE AIGUE BACT.DYSPNE</t>
  </si>
  <si>
    <t>344H</t>
  </si>
  <si>
    <t>LOUIS CORREA</t>
  </si>
  <si>
    <t>KEUR MASSAR 775651353</t>
  </si>
  <si>
    <t>343HBIS</t>
  </si>
  <si>
    <t>AWA FALL</t>
  </si>
  <si>
    <t>CAMBERENE 767889640</t>
  </si>
  <si>
    <t>345HBIS</t>
  </si>
  <si>
    <t>NABY SYLLA</t>
  </si>
  <si>
    <t>TEUNGUEDJ 781798234</t>
  </si>
  <si>
    <t>ENVENIMATION POST MORSURE SERPENT</t>
  </si>
  <si>
    <t>RUFISQUE 773847612/780187907</t>
  </si>
  <si>
    <t>DARA DJOLOF 784705576</t>
  </si>
  <si>
    <t>ABCES DU CERVELET</t>
  </si>
  <si>
    <t>342HBIS</t>
  </si>
  <si>
    <t>ALIOU CISSE</t>
  </si>
  <si>
    <t>SACRE CŒUR 775738068</t>
  </si>
  <si>
    <t>INFECTION URINAIRE BASSE</t>
  </si>
  <si>
    <t>348HBIS</t>
  </si>
  <si>
    <t>LIBERTE 6 EXTENSION 770853225</t>
  </si>
  <si>
    <t>ZONA DE LA FACE</t>
  </si>
  <si>
    <t>YAYE   LY</t>
  </si>
  <si>
    <t>337H</t>
  </si>
  <si>
    <t>OROKHIYA   DJIMERA</t>
  </si>
  <si>
    <t>GRD YOFF  708200884</t>
  </si>
  <si>
    <t>NEUROSYPHILIS /R1</t>
  </si>
  <si>
    <t>344HBIS</t>
  </si>
  <si>
    <t>TB BIFOCALE PULM ET NEUROMEN</t>
  </si>
  <si>
    <t>332H</t>
  </si>
  <si>
    <t>MARIAMA DIOULDE BA</t>
  </si>
  <si>
    <t>PA 785940577</t>
  </si>
  <si>
    <t>NDANDE FALL   772333355</t>
  </si>
  <si>
    <t>ULCERE CHRONIQUE DE LA JBE GCHE</t>
  </si>
  <si>
    <t>328H</t>
  </si>
  <si>
    <t>MAME SERIGNE CISSE</t>
  </si>
  <si>
    <t>ALMADIE 775080608</t>
  </si>
  <si>
    <t>INFECTION URINAIRE A ENTEROBACTER CLOACAE</t>
  </si>
  <si>
    <t>333H</t>
  </si>
  <si>
    <t>ADRAME NIANG</t>
  </si>
  <si>
    <t>MAMELLES 760256319/775763509</t>
  </si>
  <si>
    <t xml:space="preserve">  TOXI- INFECTION ALIMENTAIRE</t>
  </si>
  <si>
    <t>327H</t>
  </si>
  <si>
    <t>NDETE SECK BEYE</t>
  </si>
  <si>
    <t>DIEUPPEUL 773972884</t>
  </si>
  <si>
    <t xml:space="preserve">SALMONELLOSE </t>
  </si>
  <si>
    <t>ORCHIEPIDIDYMITE PROBABLE</t>
  </si>
  <si>
    <t>321H</t>
  </si>
  <si>
    <t>BENDETT PRINCESS</t>
  </si>
  <si>
    <t>FANN HOCK 782221229</t>
  </si>
  <si>
    <t>BACTERIEMIE A ESHERICHIA COLI</t>
  </si>
  <si>
    <t>320H</t>
  </si>
  <si>
    <t>AKEMA  SARR</t>
  </si>
  <si>
    <t>MERMOZ  773809179</t>
  </si>
  <si>
    <t>CELLULITE NON SUPPUREE DE L AVANT BRAS DROIT</t>
  </si>
  <si>
    <t>323H</t>
  </si>
  <si>
    <t>JOAL FADIOUTH 778494520</t>
  </si>
  <si>
    <t>AFFECT. RESP. DYSPNEISANTE/ R1</t>
  </si>
  <si>
    <t>YVES DANY BADIANE</t>
  </si>
  <si>
    <t>KARACK 781259743</t>
  </si>
  <si>
    <t>355H</t>
  </si>
  <si>
    <t>ABDOURAHMANE MAREGA</t>
  </si>
  <si>
    <t>KHAR YALLA776259434</t>
  </si>
  <si>
    <t>PNEUMOCYSTOSE /R1</t>
  </si>
  <si>
    <t>329H</t>
  </si>
  <si>
    <t>EL HADJI AMADOU MBALO</t>
  </si>
  <si>
    <t>HAMO 4/ 778597079</t>
  </si>
  <si>
    <t>346HBIS</t>
  </si>
  <si>
    <t>RAMATOULAYE DIALLO</t>
  </si>
  <si>
    <t>GUEDIAWAYE 775974896</t>
  </si>
  <si>
    <t>BACTERIEMIE A PE URINAIRE</t>
  </si>
  <si>
    <t>350H</t>
  </si>
  <si>
    <t>349H</t>
  </si>
  <si>
    <t>PENDA BA</t>
  </si>
  <si>
    <t>KEUR MASSAR 765189592</t>
  </si>
  <si>
    <t>TB BIFOCALE PLEURO PULM ET ABD.</t>
  </si>
  <si>
    <t>356H</t>
  </si>
  <si>
    <t>DOMINIQUE MILLIMONO</t>
  </si>
  <si>
    <t>MEDINA 779526555</t>
  </si>
  <si>
    <t>338H</t>
  </si>
  <si>
    <t>BOURAMA COLY</t>
  </si>
  <si>
    <t>KEUR MASSAR 783923404</t>
  </si>
  <si>
    <t>354H</t>
  </si>
  <si>
    <t>CAROLLE MELLIS DAKOUNI</t>
  </si>
  <si>
    <t>FASS 2/ 774195905</t>
  </si>
  <si>
    <t>340H</t>
  </si>
  <si>
    <t>FATOU CAMARA</t>
  </si>
  <si>
    <t>YEUMBEUL 777043201</t>
  </si>
  <si>
    <t>319H</t>
  </si>
  <si>
    <t>ZAHUI EPSE ENGONGA M. SIMONE</t>
  </si>
  <si>
    <t>MAMELLES 775484715</t>
  </si>
  <si>
    <r>
      <t xml:space="preserve">PALUDISME GRAVE </t>
    </r>
    <r>
      <rPr>
        <b/>
        <sz val="11"/>
        <color rgb="FFFF0000"/>
        <rFont val="Calibri"/>
        <family val="2"/>
        <scheme val="minor"/>
      </rPr>
      <t>GE+</t>
    </r>
  </si>
  <si>
    <t>330H</t>
  </si>
  <si>
    <t>DIOUMA BA</t>
  </si>
  <si>
    <t>9ans</t>
  </si>
  <si>
    <t>FASS 784217437</t>
  </si>
  <si>
    <t>334H</t>
  </si>
  <si>
    <t>HENRY TURPIN</t>
  </si>
  <si>
    <t>336H</t>
  </si>
  <si>
    <t>BOKAR KEBE</t>
  </si>
  <si>
    <t>PIKINE 705588189</t>
  </si>
  <si>
    <t>339H</t>
  </si>
  <si>
    <t>ADAMA DIALLO</t>
  </si>
  <si>
    <t>GRD YOFF 774898127</t>
  </si>
  <si>
    <t>346H</t>
  </si>
  <si>
    <t>DIEGANE NDIAYE</t>
  </si>
  <si>
    <t>MBOUR 774387778</t>
  </si>
  <si>
    <t>347H</t>
  </si>
  <si>
    <t>ALIOU CISS</t>
  </si>
  <si>
    <t>NGUEKOKH 777213707</t>
  </si>
  <si>
    <t>AISSATOU SOW</t>
  </si>
  <si>
    <t>PA 775475429</t>
  </si>
  <si>
    <t>351H</t>
  </si>
  <si>
    <t>OMAR KA</t>
  </si>
  <si>
    <t>352H</t>
  </si>
  <si>
    <t>ALASSANE MAMADOU NDIAYE</t>
  </si>
  <si>
    <t>OUAKAM 779935801</t>
  </si>
  <si>
    <t>353H</t>
  </si>
  <si>
    <t>ADAMA DIOULDE BA</t>
  </si>
  <si>
    <t>OUAKAM 784175644</t>
  </si>
  <si>
    <t>357H</t>
  </si>
  <si>
    <t>ASTOU DIATTA</t>
  </si>
  <si>
    <t>GRD YOFF 784061640</t>
  </si>
  <si>
    <t>358H</t>
  </si>
  <si>
    <t>ADJI BEYE</t>
  </si>
  <si>
    <t>TOUBA 763043345</t>
  </si>
  <si>
    <t>359H</t>
  </si>
  <si>
    <t>FATOU KINE DIA</t>
  </si>
  <si>
    <t>DERMOHYPODERMITE NON NECROSANTE</t>
  </si>
  <si>
    <t>360H</t>
  </si>
  <si>
    <t xml:space="preserve">DIEYNABA BA </t>
  </si>
  <si>
    <t>361H</t>
  </si>
  <si>
    <t>OUSMANE BARRY</t>
  </si>
  <si>
    <t>????</t>
  </si>
  <si>
    <t>319HBIS</t>
  </si>
  <si>
    <t>DECOMPENSATION DIABETE 2</t>
  </si>
  <si>
    <t>339HBIS</t>
  </si>
  <si>
    <t>RUFISQUE 773540239</t>
  </si>
  <si>
    <t>MLDIE DE STILL</t>
  </si>
  <si>
    <t>ARTHRITE SEPTIQUE GENOU DROIT</t>
  </si>
  <si>
    <t>CITE ASSEMBLEE 773330908</t>
  </si>
  <si>
    <t>ENCEPHALITE HERPETIQUE</t>
  </si>
  <si>
    <t>FASS 776319156</t>
  </si>
  <si>
    <t>362H</t>
  </si>
  <si>
    <t>363H</t>
  </si>
  <si>
    <t>FARBA  NDIAYE</t>
  </si>
  <si>
    <t>FASS BATIMENT 784500183</t>
  </si>
  <si>
    <r>
      <rPr>
        <b/>
        <sz val="11"/>
        <color theme="1"/>
        <rFont val="Calibri"/>
        <family val="2"/>
        <scheme val="minor"/>
      </rPr>
      <t>PALUDISME GRAVE</t>
    </r>
    <r>
      <rPr>
        <b/>
        <sz val="11"/>
        <color rgb="FFFF0000"/>
        <rFont val="Calibri"/>
        <family val="2"/>
        <scheme val="minor"/>
      </rPr>
      <t xml:space="preserve"> GE+ TDR+</t>
    </r>
  </si>
  <si>
    <t>DIAMNIADIO 774208969</t>
  </si>
  <si>
    <t>343H</t>
  </si>
  <si>
    <t>DEMBA MALAL SALL</t>
  </si>
  <si>
    <t>POUT 773154565</t>
  </si>
  <si>
    <t>336HBIS</t>
  </si>
  <si>
    <t>ALASSANE BA</t>
  </si>
  <si>
    <t>ENVENIMATION PAR PROJECTION DE VENIN DE SERPENT ŒIL DRT</t>
  </si>
  <si>
    <t>368H</t>
  </si>
  <si>
    <t>AIDA TOURE</t>
  </si>
  <si>
    <t>GOLF 775407788</t>
  </si>
  <si>
    <t>TB PULM - GG-  DIGESTIVE/R1</t>
  </si>
  <si>
    <t>373HBIS</t>
  </si>
  <si>
    <t>FATOU KINE LY</t>
  </si>
  <si>
    <t>HLM FASS 774813423/774084975</t>
  </si>
  <si>
    <t>ERYSIPELE SUR DIABETE ET HTA</t>
  </si>
  <si>
    <t>364H</t>
  </si>
  <si>
    <t>RAMATOULAYE BA</t>
  </si>
  <si>
    <t>KEUR MBAYE FALL 775925891</t>
  </si>
  <si>
    <t>AISSSATOU PAM</t>
  </si>
  <si>
    <t>PIKINE 773604177</t>
  </si>
  <si>
    <t>ERYSIPELE JBE DRTE SUR ELEPHANTIASIS</t>
  </si>
  <si>
    <t>376HBIS</t>
  </si>
  <si>
    <t>TIDIANE THIOGANE</t>
  </si>
  <si>
    <t>PA U9/778647293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</si>
  <si>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 TDR+</t>
    </r>
  </si>
  <si>
    <t>ROKHAYA NIANG</t>
  </si>
  <si>
    <t>ZAC MBAO 766718005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</si>
  <si>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 TDR-</t>
    </r>
  </si>
  <si>
    <t>374H</t>
  </si>
  <si>
    <t>373H</t>
  </si>
  <si>
    <t>ARAFAT 2 RUFISQUE/770534546/776569851</t>
  </si>
  <si>
    <t>ERYSIPELE SUR LYMPHANGITE</t>
  </si>
  <si>
    <t>ABCES PULMONAIRE POSTERO BASAL DRT</t>
  </si>
  <si>
    <t>367H</t>
  </si>
  <si>
    <t>EL HADJI BAKARY HANN</t>
  </si>
  <si>
    <t>RUFISQUE 775614022</t>
  </si>
  <si>
    <t>MENINGOENCEPHALITE HERPETIQUE</t>
  </si>
  <si>
    <t>370H</t>
  </si>
  <si>
    <t>SALLA SENE</t>
  </si>
  <si>
    <t>TOUBA/USINE BENE TALLY 789074320</t>
  </si>
  <si>
    <t>ERYSIPELE JBE DRTE</t>
  </si>
  <si>
    <t>APPENDICITE CHRONIQUE</t>
  </si>
  <si>
    <t>371H</t>
  </si>
  <si>
    <t>FATOU GAYE</t>
  </si>
  <si>
    <t>SACRE CŒUR 3/775729444</t>
  </si>
  <si>
    <t>GEA D ALLURE VIRALE</t>
  </si>
  <si>
    <t>377H</t>
  </si>
  <si>
    <t>SERIGNE FALLOU MBACKE SARR</t>
  </si>
  <si>
    <t>PIKINE 782669393</t>
  </si>
  <si>
    <t>GEA FEBRILE +PNEUMOPATHIE A GB/R1</t>
  </si>
  <si>
    <t>365H</t>
  </si>
  <si>
    <t>MOUNTAGA LY</t>
  </si>
  <si>
    <t>KEUR NDIAYE LO /775780448</t>
  </si>
  <si>
    <t>369H</t>
  </si>
  <si>
    <t>AHMED TIDIANE NIANG</t>
  </si>
  <si>
    <t>PIKINE 777059933/777171348</t>
  </si>
  <si>
    <t>MAMADI SALMA</t>
  </si>
  <si>
    <t>MAURITANIE 774182415</t>
  </si>
  <si>
    <t>392H</t>
  </si>
  <si>
    <t>KADIATOU DIALLO</t>
  </si>
  <si>
    <t>REUBEUSS 776273406</t>
  </si>
  <si>
    <t>SUSPICION DE TB BIFOCALE</t>
  </si>
  <si>
    <t>376H</t>
  </si>
  <si>
    <t>MAME DIARRA DIOUF</t>
  </si>
  <si>
    <t>GUEDIAWAYE 764257587</t>
  </si>
  <si>
    <t>LIBERTE 6/770376685</t>
  </si>
  <si>
    <t>PNEUMOCYSTOSE ET CANDIDOSE DIGESTIVE/R1</t>
  </si>
  <si>
    <t>375H</t>
  </si>
  <si>
    <t>ABDOUL SOW</t>
  </si>
  <si>
    <t>HLM FASS /775144605</t>
  </si>
  <si>
    <t>IO DIGESTIVE ET TB MULTIFOCALE/R1</t>
  </si>
  <si>
    <t>394H</t>
  </si>
  <si>
    <t>DJILY THIAM</t>
  </si>
  <si>
    <t>GUEDIAWAYE 777577642</t>
  </si>
  <si>
    <t>ENCEPHALITE INFECTIEUSE</t>
  </si>
  <si>
    <t>393H</t>
  </si>
  <si>
    <t>ARONA KA</t>
  </si>
  <si>
    <t>TOUBA DAHRA 777278940</t>
  </si>
  <si>
    <t>386H</t>
  </si>
  <si>
    <t>MAH COULIBALY</t>
  </si>
  <si>
    <t>ZAC MBAO 768010977</t>
  </si>
  <si>
    <t>380H</t>
  </si>
  <si>
    <t>MBOYO KA</t>
  </si>
  <si>
    <t>DIAKHAYE 775837336</t>
  </si>
  <si>
    <t>MASSE HEPATIQUE</t>
  </si>
  <si>
    <t>391H</t>
  </si>
  <si>
    <t>MOUHAMED NDIR</t>
  </si>
  <si>
    <t>YOFF 773499095</t>
  </si>
  <si>
    <t>MENINGOENCEPHALITE BACT. A PNEUMOCOQUE</t>
  </si>
  <si>
    <t>381H</t>
  </si>
  <si>
    <t>KOUNOUNE 780116364</t>
  </si>
  <si>
    <t>389H</t>
  </si>
  <si>
    <t>FATOUMATA BINETOU GUEYE</t>
  </si>
  <si>
    <t>TIVAOUANE 775500816</t>
  </si>
  <si>
    <t>400H</t>
  </si>
  <si>
    <t>DALIFORT 708631456/707507512</t>
  </si>
  <si>
    <t>390H</t>
  </si>
  <si>
    <t>TEKHEYE DIENG</t>
  </si>
  <si>
    <t>DYA KAOLACK 775529026</t>
  </si>
  <si>
    <t>NEOPROSTATIQUE METASTASIQ</t>
  </si>
  <si>
    <t>366H</t>
  </si>
  <si>
    <t>CLOTILDE  DIOUF</t>
  </si>
  <si>
    <t>FATICK 777426345</t>
  </si>
  <si>
    <t>396H</t>
  </si>
  <si>
    <t>DIEYNABA DIALLO</t>
  </si>
  <si>
    <t>TIVAOUANE PEUL 774205371</t>
  </si>
  <si>
    <t>MENINGOENCEPHALITE/R1</t>
  </si>
  <si>
    <t>387H</t>
  </si>
  <si>
    <t>ABDOULAYE SADIO</t>
  </si>
  <si>
    <t>DIEUPPEUL 2/ 777348206</t>
  </si>
  <si>
    <t>384H</t>
  </si>
  <si>
    <t>CHEIKH TALL</t>
  </si>
  <si>
    <t>OUAKAM CITE AVION  774120408</t>
  </si>
  <si>
    <t xml:space="preserve">PNEUMOPATHIE A GB </t>
  </si>
  <si>
    <t>395H</t>
  </si>
  <si>
    <t>MOUSTAPHA SOUGOU</t>
  </si>
  <si>
    <t>YOFF LAYENE 782965401</t>
  </si>
  <si>
    <t>383H</t>
  </si>
  <si>
    <t>MAGUETTE SAMB</t>
  </si>
  <si>
    <t>GIBRALTAR 776445330</t>
  </si>
  <si>
    <t>BACTERIEMIE SUR PE URINAIRE</t>
  </si>
  <si>
    <t>403H</t>
  </si>
  <si>
    <t>MASS DRAME</t>
  </si>
  <si>
    <t>JOAL 764438609</t>
  </si>
  <si>
    <t>INFECTION NOSOCOMIALE</t>
  </si>
  <si>
    <t>401H</t>
  </si>
  <si>
    <t>KETIEL SY</t>
  </si>
  <si>
    <t>FANN HOCK 771676396</t>
  </si>
  <si>
    <t>NEUROSYPHYLIS PROBABLE</t>
  </si>
  <si>
    <t>398H</t>
  </si>
  <si>
    <t>MAMADOU YAYE DIALLO</t>
  </si>
  <si>
    <t>BENE TALLY 777531986</t>
  </si>
  <si>
    <t>374HBIS BIS</t>
  </si>
  <si>
    <t xml:space="preserve">374HBIS </t>
  </si>
  <si>
    <t>FATOU DIAGNE</t>
  </si>
  <si>
    <t>GUEDIAWAYE 776141276</t>
  </si>
  <si>
    <t>372H</t>
  </si>
  <si>
    <t>PAPE PATHE SOW</t>
  </si>
  <si>
    <t xml:space="preserve">HLM GRD YOFF </t>
  </si>
  <si>
    <t>PNEUMOCYSTOSE</t>
  </si>
  <si>
    <t>378H</t>
  </si>
  <si>
    <t>HASSOUNE BAYANE NASSIM</t>
  </si>
  <si>
    <t>OUAKAM 775749488</t>
  </si>
  <si>
    <t>ENCEPHALITE INFECTIEUSE/R1</t>
  </si>
  <si>
    <t>379H</t>
  </si>
  <si>
    <t>NDEYE YAGA MBENGUE</t>
  </si>
  <si>
    <t>TIVAOUANE 772916310</t>
  </si>
  <si>
    <t>382H</t>
  </si>
  <si>
    <t>SEGA SAMB</t>
  </si>
  <si>
    <t>NGOR EXTENSION 778635202</t>
  </si>
  <si>
    <t>385H</t>
  </si>
  <si>
    <t>PIKINE 775485517</t>
  </si>
  <si>
    <t>388H</t>
  </si>
  <si>
    <t xml:space="preserve">AMADOU NDIAYE </t>
  </si>
  <si>
    <t>DALIFORT 774449001</t>
  </si>
  <si>
    <t>397H</t>
  </si>
  <si>
    <t xml:space="preserve">OUMY DIAKHATE </t>
  </si>
  <si>
    <t>GRD DKR 776723340</t>
  </si>
  <si>
    <t>399H</t>
  </si>
  <si>
    <t>SERIGNE  FALL</t>
  </si>
  <si>
    <t>NIARRY TALLY 772072341</t>
  </si>
  <si>
    <t>402H</t>
  </si>
  <si>
    <t>AMY GNINGUE</t>
  </si>
  <si>
    <t>KEUR MASSAR 772954748</t>
  </si>
  <si>
    <t>404H</t>
  </si>
  <si>
    <t>SERIGNE MBACKE NIANG</t>
  </si>
  <si>
    <t>MEDINA 776533813</t>
  </si>
  <si>
    <t>405H</t>
  </si>
  <si>
    <t>417H</t>
  </si>
  <si>
    <t>FATOU FAYE</t>
  </si>
  <si>
    <t>DIEUPPEUL 4/ 776492711</t>
  </si>
  <si>
    <t>TB MULTIFOCALE SUR DREPANO AS</t>
  </si>
  <si>
    <t>410H</t>
  </si>
  <si>
    <t>MATY GAYE</t>
  </si>
  <si>
    <t>MEDINA 765904072</t>
  </si>
  <si>
    <t>SEPTICOPYOHEMIE A PE CUTANEE</t>
  </si>
  <si>
    <t>419H</t>
  </si>
  <si>
    <t>422H</t>
  </si>
  <si>
    <t>MEDINA GOUNASS 789860259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</si>
  <si>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TDR+</t>
    </r>
  </si>
  <si>
    <t>441H</t>
  </si>
  <si>
    <t>MASSAR GUEYE GAYE</t>
  </si>
  <si>
    <t>OUAGOUNIAYE 776422020</t>
  </si>
  <si>
    <t>434HBIS</t>
  </si>
  <si>
    <t>AISSATOU MOUSSA THIAM</t>
  </si>
  <si>
    <t>AMYGDALITE ERYTHEMATEUSE/R1</t>
  </si>
  <si>
    <t>DIEUPPEUL /GRD YOFF 775103728</t>
  </si>
  <si>
    <t>423H</t>
  </si>
  <si>
    <t>AMINATA DIAGNE</t>
  </si>
  <si>
    <t>HLM OUAGOUNIAYE 774551844</t>
  </si>
  <si>
    <t>TB PULM.+INFECTION URINAIRE A E. COLI</t>
  </si>
  <si>
    <t>424H</t>
  </si>
  <si>
    <t>LANSANA FAYE</t>
  </si>
  <si>
    <t>CASTOR 773988769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</si>
  <si>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GE+ TDR+ </t>
    </r>
  </si>
  <si>
    <t>434H</t>
  </si>
  <si>
    <t>ALBATOU BALDE</t>
  </si>
  <si>
    <t>SICAP MBAO 775409621</t>
  </si>
  <si>
    <r>
      <rPr>
        <b/>
        <sz val="11"/>
        <color theme="1"/>
        <rFont val="Calibri"/>
        <family val="2"/>
        <scheme val="minor"/>
      </rPr>
      <t xml:space="preserve">PALUDISME SIMPLE </t>
    </r>
    <r>
      <rPr>
        <b/>
        <sz val="11"/>
        <color rgb="FFFF0000"/>
        <rFont val="Calibri"/>
        <family val="2"/>
        <scheme val="minor"/>
      </rPr>
      <t>GE+</t>
    </r>
  </si>
  <si>
    <t>428H</t>
  </si>
  <si>
    <t>NDEYE DJEYNABA NDAO</t>
  </si>
  <si>
    <t>KEUR MASSAR 774493148</t>
  </si>
  <si>
    <t>IO/R1</t>
  </si>
  <si>
    <t>431H</t>
  </si>
  <si>
    <t>OUMAR YORO</t>
  </si>
  <si>
    <t>GRD MEDINE 775252690</t>
  </si>
  <si>
    <t>KADIA OUSMANE BA</t>
  </si>
  <si>
    <t>OUAKAM 774485039</t>
  </si>
  <si>
    <t>AVC</t>
  </si>
  <si>
    <t>433H</t>
  </si>
  <si>
    <t>BINTOU LO</t>
  </si>
  <si>
    <t>PA U12/ 781575146</t>
  </si>
  <si>
    <t>SEPSIS / R1</t>
  </si>
  <si>
    <t>408H</t>
  </si>
  <si>
    <t>ESTELLE PATRICIA KOUYO</t>
  </si>
  <si>
    <t>OUAKAM 789582091/774270640</t>
  </si>
  <si>
    <t>PNEUMOPATHIE A STAPH AUREUS/R1</t>
  </si>
  <si>
    <t>413H</t>
  </si>
  <si>
    <t>MAME MANE THIAM</t>
  </si>
  <si>
    <t>GRD YOFF  781194898</t>
  </si>
  <si>
    <t>MOUHAMED LO</t>
  </si>
  <si>
    <t>TIVAOUANE 774227989</t>
  </si>
  <si>
    <t>424HBIS</t>
  </si>
  <si>
    <t>PAPE OUMAR SY</t>
  </si>
  <si>
    <t>MEDINA RUE 15X6/773372150</t>
  </si>
  <si>
    <r>
      <rPr>
        <b/>
        <sz val="11"/>
        <color theme="1"/>
        <rFont val="Calibri"/>
        <family val="2"/>
        <scheme val="minor"/>
      </rPr>
      <t xml:space="preserve">PALUDISME GRAVE </t>
    </r>
    <r>
      <rPr>
        <b/>
        <sz val="11"/>
        <color rgb="FFFF0000"/>
        <rFont val="Calibri"/>
        <family val="2"/>
        <scheme val="minor"/>
      </rPr>
      <t>GE+ TDR+</t>
    </r>
    <r>
      <rPr>
        <sz val="11"/>
        <color theme="1"/>
        <rFont val="Calibri"/>
        <family val="2"/>
        <scheme val="minor"/>
      </rPr>
      <t xml:space="preserve"> </t>
    </r>
  </si>
  <si>
    <t>411H</t>
  </si>
  <si>
    <t>SERIGNE ALIOU DIOP SOW</t>
  </si>
  <si>
    <t>MERMOZ 777538018</t>
  </si>
  <si>
    <t>407H</t>
  </si>
  <si>
    <t>ASSANE SENE</t>
  </si>
  <si>
    <t>GOUNDIANE 783040633</t>
  </si>
  <si>
    <t>PNEUMOPATHIE A PSEUDOMONAS AERUGINOSA</t>
  </si>
  <si>
    <t>433HBIS</t>
  </si>
  <si>
    <t>AHMADOU FADEL MBACKE SENE</t>
  </si>
  <si>
    <t>GOLF SUD 775576281</t>
  </si>
  <si>
    <t>HEPATITE VIRALE PROBABLE</t>
  </si>
  <si>
    <t>429H</t>
  </si>
  <si>
    <t>SALY SY</t>
  </si>
  <si>
    <t>ALMADIES 776951414</t>
  </si>
  <si>
    <t>427H</t>
  </si>
  <si>
    <t>MOR TALLA FALL</t>
  </si>
  <si>
    <t>YOFF 770518210</t>
  </si>
  <si>
    <t>DERMOHYPODERMITE BACT. NON NECROSANTE JBE GCHE</t>
  </si>
  <si>
    <t>430H</t>
  </si>
  <si>
    <t>MOUHAMED SISINA AHMED</t>
  </si>
  <si>
    <t>REUBEUSS 774458831</t>
  </si>
  <si>
    <t>LITHIASE VESICULAIRE NON COMPLIQUEE</t>
  </si>
  <si>
    <t>409H</t>
  </si>
  <si>
    <t>CIRA TENING CAMARA</t>
  </si>
  <si>
    <t>PIKINE 775444343</t>
  </si>
  <si>
    <t>DERMOHYPODERMITE BACT. NON NECROSANTE SUP GCHE+THROMBOSE V</t>
  </si>
  <si>
    <t>415H</t>
  </si>
  <si>
    <t>FATIM NDIAYE</t>
  </si>
  <si>
    <t>SACRE CŒUR 3/ 774925794</t>
  </si>
  <si>
    <t>TOXI INFECTION ALIMENTAIRE COMMUNAUTAIRE</t>
  </si>
  <si>
    <t>406H</t>
  </si>
  <si>
    <t>ADAMA NIANG</t>
  </si>
  <si>
    <t>DANDE 779845667</t>
  </si>
  <si>
    <t xml:space="preserve">DERMOHYPODERMITE BACT NON NECROSANTE </t>
  </si>
  <si>
    <t>421H</t>
  </si>
  <si>
    <t>MODOU DIOUF</t>
  </si>
  <si>
    <t>DIMNIADIO 761620939</t>
  </si>
  <si>
    <t>420H</t>
  </si>
  <si>
    <t>OUSMANE COLY</t>
  </si>
  <si>
    <t>DIMNIADIO 775498462</t>
  </si>
  <si>
    <r>
      <rPr>
        <b/>
        <sz val="11"/>
        <color theme="1"/>
        <rFont val="Calibri"/>
        <family val="2"/>
        <scheme val="minor"/>
      </rPr>
      <t>PALUDISME GRAVE</t>
    </r>
    <r>
      <rPr>
        <b/>
        <sz val="11"/>
        <color rgb="FFFF0000"/>
        <rFont val="Calibri"/>
        <family val="2"/>
        <scheme val="minor"/>
      </rPr>
      <t xml:space="preserve"> GE+</t>
    </r>
  </si>
  <si>
    <t>THIAROYE/MER 774808206</t>
  </si>
  <si>
    <t>AOMI ATHEROMATUSE/DIABETE 2</t>
  </si>
  <si>
    <t>414H</t>
  </si>
  <si>
    <t>RAPHAEL MENDY</t>
  </si>
  <si>
    <t>GUEDIAWAYE 775582380</t>
  </si>
  <si>
    <t>418H</t>
  </si>
  <si>
    <t>OUSMANE  FAYE</t>
  </si>
  <si>
    <t>HLM GRD YOFF 774744182</t>
  </si>
  <si>
    <t>GASTRO ENTERITE/R1</t>
  </si>
  <si>
    <t>443H</t>
  </si>
  <si>
    <t>GUEDIAWAYE 776107721/775417260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</si>
  <si>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>/R1</t>
    </r>
  </si>
  <si>
    <t>416H</t>
  </si>
  <si>
    <t>PAPE GUEYE</t>
  </si>
  <si>
    <t>PAU9/772032626</t>
  </si>
  <si>
    <t>LYMPHOME CERREBRAL+MENIGTE BACT/R1</t>
  </si>
  <si>
    <t>446H</t>
  </si>
  <si>
    <t>SOUHAIBOU DIEDHIOU</t>
  </si>
  <si>
    <t>KEUR MBAYE FALL 776927301</t>
  </si>
  <si>
    <t>DIABETE DECOMPENSE</t>
  </si>
  <si>
    <t>439H</t>
  </si>
  <si>
    <t>DIALIKA KEBE</t>
  </si>
  <si>
    <t>CITE KEUR GORGUI 776714003</t>
  </si>
  <si>
    <t>PLAIE SURINFECTEE JBE DRTE</t>
  </si>
  <si>
    <t>445H</t>
  </si>
  <si>
    <t>YACINE SECK</t>
  </si>
  <si>
    <t>NATIONS UNIES 784669297</t>
  </si>
  <si>
    <t>SALMONELLOSE/R1</t>
  </si>
  <si>
    <t>438H</t>
  </si>
  <si>
    <t>PAPE NDIAGA LAKH</t>
  </si>
  <si>
    <t>QTIER HANENE 784689360/779564932</t>
  </si>
  <si>
    <t>SALMONELLOSE MAJEUR AU 2 eme SEPTENAIRE</t>
  </si>
  <si>
    <t>426H</t>
  </si>
  <si>
    <t>MOHAMED NABY SARR</t>
  </si>
  <si>
    <t>PATTE D OIE 776023379</t>
  </si>
  <si>
    <t>452H</t>
  </si>
  <si>
    <t>AISSATA HANNE</t>
  </si>
  <si>
    <t>GUEDIAWAYE 776056087</t>
  </si>
  <si>
    <t>GEA NON FEBRILE/R1</t>
  </si>
  <si>
    <t>447H</t>
  </si>
  <si>
    <t>BOURY KANE</t>
  </si>
  <si>
    <t>THIAROYE SAM SAM 766460492</t>
  </si>
  <si>
    <t>RECHUTE TOXOPLASMOSE CEREBRALE/R1</t>
  </si>
  <si>
    <t>453H</t>
  </si>
  <si>
    <t>IBRAHIMA SY</t>
  </si>
  <si>
    <t>HLM BENE TALLY 776551051</t>
  </si>
  <si>
    <t>436H</t>
  </si>
  <si>
    <t>COURA NDIAYE</t>
  </si>
  <si>
    <t>GRD MBAO 777254415/775587296</t>
  </si>
  <si>
    <t>455H</t>
  </si>
  <si>
    <t>TEYEL BALDE</t>
  </si>
  <si>
    <t>SICAP¨772453175</t>
  </si>
  <si>
    <t>INFECTION URINAIRE PROBABLE</t>
  </si>
  <si>
    <t>450H</t>
  </si>
  <si>
    <t>COUMBA CAMARA</t>
  </si>
  <si>
    <t>SICAP MBAO 766101770</t>
  </si>
  <si>
    <t>SYNDROME GRIPPAL NON COMPLIQUE</t>
  </si>
  <si>
    <t>460H</t>
  </si>
  <si>
    <t>FANN 769064303/778835048</t>
  </si>
  <si>
    <t>455HBIS</t>
  </si>
  <si>
    <t>YAYE AITA NGOM</t>
  </si>
  <si>
    <t>OUAKAM 775217170</t>
  </si>
  <si>
    <t>435H</t>
  </si>
  <si>
    <t>EL HADJ THIALAW DIOP</t>
  </si>
  <si>
    <t>KHAR YALLA 773041018</t>
  </si>
  <si>
    <t>ENTERITE INFECTIEUSE PROBABLE</t>
  </si>
  <si>
    <t>412H</t>
  </si>
  <si>
    <t>425H</t>
  </si>
  <si>
    <t>RAMATOULAYE SENGHOR</t>
  </si>
  <si>
    <t>432H</t>
  </si>
  <si>
    <t>OMAR SOW</t>
  </si>
  <si>
    <t>LOUGA 778386662/770303129</t>
  </si>
  <si>
    <t>437H</t>
  </si>
  <si>
    <t>MARISTE 776887055</t>
  </si>
  <si>
    <t>440H</t>
  </si>
  <si>
    <t>442H</t>
  </si>
  <si>
    <t>BOUBACAR LY</t>
  </si>
  <si>
    <t>TIVAOUANE PEUL 782402867</t>
  </si>
  <si>
    <t>444H</t>
  </si>
  <si>
    <t>PETIT MBAO 782954771</t>
  </si>
  <si>
    <r>
      <rPr>
        <b/>
        <sz val="11"/>
        <color theme="1"/>
        <rFont val="Calibri"/>
        <family val="2"/>
        <scheme val="minor"/>
      </rPr>
      <t xml:space="preserve">PALU GRAVE </t>
    </r>
    <r>
      <rPr>
        <b/>
        <sz val="11"/>
        <color rgb="FFFF0000"/>
        <rFont val="Calibri"/>
        <family val="2"/>
        <scheme val="minor"/>
      </rPr>
      <t>GE+</t>
    </r>
  </si>
  <si>
    <t>448H</t>
  </si>
  <si>
    <t>KHALILOU CISSOKHO</t>
  </si>
  <si>
    <t>GRD YOFF 779205388</t>
  </si>
  <si>
    <t>449H</t>
  </si>
  <si>
    <t>BECAYE DIOP</t>
  </si>
  <si>
    <t>NDIASSANE 784860573</t>
  </si>
  <si>
    <t>451H</t>
  </si>
  <si>
    <t>FATOUMATA DIA</t>
  </si>
  <si>
    <t>454H</t>
  </si>
  <si>
    <t>MARIE FAYE</t>
  </si>
  <si>
    <t>HLM GRD MEDINE 774129865</t>
  </si>
  <si>
    <t>456H</t>
  </si>
  <si>
    <t>YORO WADE</t>
  </si>
  <si>
    <t>457H</t>
  </si>
  <si>
    <t>NENE MENDY</t>
  </si>
  <si>
    <t>ZAC MBAO 776344019</t>
  </si>
  <si>
    <t>458H</t>
  </si>
  <si>
    <t>GHISLAINE ATAKALA</t>
  </si>
  <si>
    <t>CASTOR 707908343</t>
  </si>
  <si>
    <t>459H</t>
  </si>
  <si>
    <t>PIKINE 779147343</t>
  </si>
  <si>
    <t>460HBISMAMADOU ABDOULAYE WADE</t>
  </si>
  <si>
    <t>???</t>
  </si>
  <si>
    <t>461H</t>
  </si>
  <si>
    <t>THIERNO ALIOU DIALLO</t>
  </si>
  <si>
    <t>MALIKA 763912853</t>
  </si>
  <si>
    <t>462H</t>
  </si>
  <si>
    <t>FANTA DOUMBIA</t>
  </si>
  <si>
    <t>OUEST FOIRE 774062816</t>
  </si>
  <si>
    <t>463H</t>
  </si>
  <si>
    <t>AWA DIOP</t>
  </si>
  <si>
    <t>ABDOULAYE NDIAYE</t>
  </si>
  <si>
    <t>464H</t>
  </si>
  <si>
    <t>471H</t>
  </si>
  <si>
    <t>DOMINIQUE NZALEE</t>
  </si>
  <si>
    <t>GUEULE TAPEE 777349656</t>
  </si>
  <si>
    <t xml:space="preserve">      DIAGNOSTIC</t>
  </si>
  <si>
    <t>MODE SORTIE</t>
  </si>
  <si>
    <t>GEA SUR TERRAIN R1</t>
  </si>
  <si>
    <t>IO DIGESTIVE PROBABLE/R1</t>
  </si>
  <si>
    <t>AMY COLLE FALL</t>
  </si>
  <si>
    <t>493H</t>
  </si>
  <si>
    <t>BINTA CISSE</t>
  </si>
  <si>
    <t>SYNDROME PSEUDO GRIPPAL</t>
  </si>
  <si>
    <t>495H</t>
  </si>
  <si>
    <t>KHADY NIANG</t>
  </si>
  <si>
    <t>GUEDIAWAYE 770121558</t>
  </si>
  <si>
    <r>
      <rPr>
        <b/>
        <sz val="11"/>
        <color theme="1"/>
        <rFont val="Calibri"/>
        <family val="2"/>
        <scheme val="minor"/>
      </rPr>
      <t>ACCES PALUSTRE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TDR+ GE-</t>
    </r>
  </si>
  <si>
    <t>494H</t>
  </si>
  <si>
    <t>ADAMA CAMARA</t>
  </si>
  <si>
    <t xml:space="preserve">BAOABAB </t>
  </si>
  <si>
    <t>TUMEFACTION INGUINALE/R1</t>
  </si>
  <si>
    <t>483H</t>
  </si>
  <si>
    <t>KHADY FALL</t>
  </si>
  <si>
    <t>GRD YOFF 766736719</t>
  </si>
  <si>
    <t>474H</t>
  </si>
  <si>
    <t>PNEUMOPATHIE A GERMES NON SPECIFIQ</t>
  </si>
  <si>
    <t>479H                  AMADOU NDIAYE</t>
  </si>
  <si>
    <t>GRD MEDINE 771143963</t>
  </si>
  <si>
    <t>GRIPPE + CEPHALEE SEVERE</t>
  </si>
  <si>
    <t>486H</t>
  </si>
  <si>
    <t>ARONA DIOP</t>
  </si>
  <si>
    <t>GUEDIAWAYE 775966612</t>
  </si>
  <si>
    <t>SEPSIS AVEC DEFAILLANCE NEURO</t>
  </si>
  <si>
    <t>499H</t>
  </si>
  <si>
    <t>BANTA WAGUE</t>
  </si>
  <si>
    <t>MARISTE 776356814</t>
  </si>
  <si>
    <t>476H</t>
  </si>
  <si>
    <t>NDIAGA NDIAYE</t>
  </si>
  <si>
    <t>NIARY TALLY 776112429</t>
  </si>
  <si>
    <r>
      <rPr>
        <b/>
        <sz val="11"/>
        <color theme="1"/>
        <rFont val="Calibri"/>
        <family val="2"/>
        <scheme val="minor"/>
      </rPr>
      <t>PALUDISME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GE- TDR+</t>
    </r>
  </si>
  <si>
    <t>490H</t>
  </si>
  <si>
    <t>ABDOURAKHMANE CAMARA</t>
  </si>
  <si>
    <t>MEDINA RUE 13/771953674</t>
  </si>
  <si>
    <r>
      <rPr>
        <b/>
        <sz val="11"/>
        <color theme="1"/>
        <rFont val="Calibri"/>
        <family val="2"/>
        <scheme val="minor"/>
      </rPr>
      <t xml:space="preserve">PALUDISME GRAVE </t>
    </r>
    <r>
      <rPr>
        <b/>
        <sz val="11"/>
        <color rgb="FFFF0000"/>
        <rFont val="Calibri"/>
        <family val="2"/>
        <scheme val="minor"/>
      </rPr>
      <t>GE+ TDR+</t>
    </r>
  </si>
  <si>
    <t>481H</t>
  </si>
  <si>
    <t>NDEYE ALIMATOU NIANG</t>
  </si>
  <si>
    <t>HLM4/ 775100706</t>
  </si>
  <si>
    <t>DIABETE TYPE 2 MODE HYPERGLYCEMIQUE</t>
  </si>
  <si>
    <t>500H</t>
  </si>
  <si>
    <t>ABDOULAYE DIOUF</t>
  </si>
  <si>
    <t>OUAKAM 776940468</t>
  </si>
  <si>
    <t>501H</t>
  </si>
  <si>
    <t>KEUR MASSAR 704563470</t>
  </si>
  <si>
    <r>
      <rPr>
        <b/>
        <sz val="11"/>
        <color theme="1"/>
        <rFont val="Calibri"/>
        <family val="2"/>
        <scheme val="minor"/>
      </rPr>
      <t xml:space="preserve">PALIUDISME GRAVE </t>
    </r>
    <r>
      <rPr>
        <b/>
        <sz val="11"/>
        <color rgb="FFFF0000"/>
        <rFont val="Calibri"/>
        <family val="2"/>
        <scheme val="minor"/>
      </rPr>
      <t>GE+</t>
    </r>
  </si>
  <si>
    <r>
      <t xml:space="preserve">PALUDISME SIMPLE </t>
    </r>
    <r>
      <rPr>
        <b/>
        <sz val="11"/>
        <color rgb="FFFF0000"/>
        <rFont val="Calibri"/>
        <family val="2"/>
        <scheme val="minor"/>
      </rPr>
      <t>GE+</t>
    </r>
  </si>
  <si>
    <r>
      <rPr>
        <b/>
        <sz val="11"/>
        <color theme="1"/>
        <rFont val="Calibri"/>
        <family val="2"/>
        <scheme val="minor"/>
      </rPr>
      <t>PALU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TDR+</t>
    </r>
  </si>
  <si>
    <t>DIAMAGUENE  775558368</t>
  </si>
  <si>
    <t>INFECTION URINAIRE /R1</t>
  </si>
  <si>
    <t>GUEDIAWAYE 786101894</t>
  </si>
  <si>
    <t>PATTE D OIE  775063957</t>
  </si>
  <si>
    <t>ARBOVIROSE DENGUE PROBABLE</t>
  </si>
  <si>
    <t>TB NEUROMEN ET PULM</t>
  </si>
  <si>
    <t>DIABETE TYPE 2SUR  RECIDIVE TB PULM /R2</t>
  </si>
  <si>
    <t>MODOU FALL</t>
  </si>
  <si>
    <t>THIAROYE 770500282</t>
  </si>
  <si>
    <t>TUBERCULOSE PULMONAIRE</t>
  </si>
  <si>
    <t>470H</t>
  </si>
  <si>
    <t>???                        771691021</t>
  </si>
  <si>
    <t>APPENDICITE</t>
  </si>
  <si>
    <t>DALAL JAM CHIRURGIE</t>
  </si>
  <si>
    <t>GRD YOFF 761439481</t>
  </si>
  <si>
    <t>ULCERATIONS MULTIPLES/R1</t>
  </si>
  <si>
    <t>507H</t>
  </si>
  <si>
    <t>CHEIKH OUMAR SARR</t>
  </si>
  <si>
    <t>RUFISQUE 775168216</t>
  </si>
  <si>
    <t>EPILEPSIE</t>
  </si>
  <si>
    <t>480H</t>
  </si>
  <si>
    <t>KALIDOU MAMAD. GOUDIABY 12/11/2024</t>
  </si>
  <si>
    <t>RUFISQUE 772185921</t>
  </si>
  <si>
    <t>TB PULMONAIRE+PNEUMOCYSTOSE/R1</t>
  </si>
  <si>
    <t>512HBIS</t>
  </si>
  <si>
    <t>MARIAMA MANE</t>
  </si>
  <si>
    <t>KEUR MBAY FALL 773486026</t>
  </si>
  <si>
    <r>
      <rPr>
        <b/>
        <sz val="11"/>
        <color theme="1"/>
        <rFont val="Calibri"/>
        <family val="2"/>
        <scheme val="minor"/>
      </rPr>
      <t>PALUDISME GRAVE</t>
    </r>
    <r>
      <rPr>
        <b/>
        <sz val="11"/>
        <color rgb="FFFF0000"/>
        <rFont val="Calibri"/>
        <family val="2"/>
        <scheme val="minor"/>
      </rPr>
      <t xml:space="preserve"> TDR+</t>
    </r>
  </si>
  <si>
    <t>TB BIFOCALE  PERITO ET OSS</t>
  </si>
  <si>
    <t>CASTOR 776981384</t>
  </si>
  <si>
    <t>PLEUROPNEUMOPATHIE/R1</t>
  </si>
  <si>
    <t>485H</t>
  </si>
  <si>
    <t>MOUHAMADOU PAPE TAL</t>
  </si>
  <si>
    <t>BEL AIR CITE ISRA 781482424</t>
  </si>
  <si>
    <t>ARBOVIROSE ?</t>
  </si>
  <si>
    <t>491H</t>
  </si>
  <si>
    <t>SAMBA KA</t>
  </si>
  <si>
    <t>DAHRA DJOLOF 779737126</t>
  </si>
  <si>
    <t>BRONCHOPNEUMOPATHIE CHRONIQ OBSTRUCTIVE</t>
  </si>
  <si>
    <t>503H</t>
  </si>
  <si>
    <t>ADAMA DIAO</t>
  </si>
  <si>
    <t>KEUR MASSAR 765991028</t>
  </si>
  <si>
    <t>COCCIDIOSE /R1</t>
  </si>
  <si>
    <t>508H</t>
  </si>
  <si>
    <t>SOULEYMANE BARRY</t>
  </si>
  <si>
    <t>MEDINA 709519850</t>
  </si>
  <si>
    <t>TB PLEURALE</t>
  </si>
  <si>
    <t>484H</t>
  </si>
  <si>
    <t>ALIOUNE TAMBA</t>
  </si>
  <si>
    <t>KHAR YALLA 774392395</t>
  </si>
  <si>
    <t>504H</t>
  </si>
  <si>
    <t>MAMADOU BA</t>
  </si>
  <si>
    <t>PLATEAU 770617916</t>
  </si>
  <si>
    <t>494HBIS</t>
  </si>
  <si>
    <t>HLM 5/ 760172040</t>
  </si>
  <si>
    <t>TUMEUR DU FOIE METASTASIQUE</t>
  </si>
  <si>
    <t>497H</t>
  </si>
  <si>
    <t>AMINATA THIAM</t>
  </si>
  <si>
    <t>YOFF 776582120/774043953</t>
  </si>
  <si>
    <t>SD INFECTIEUX GRIPPE</t>
  </si>
  <si>
    <t>502H</t>
  </si>
  <si>
    <t>OUSMANE THIOUNE</t>
  </si>
  <si>
    <t>LIBERTE 6/775361204</t>
  </si>
  <si>
    <r>
      <rPr>
        <b/>
        <sz val="11"/>
        <color theme="1"/>
        <rFont val="Calibri"/>
        <family val="2"/>
        <scheme val="minor"/>
      </rPr>
      <t>ACCES PALUSTRE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GE+</t>
    </r>
  </si>
  <si>
    <t>496H</t>
  </si>
  <si>
    <t>LASSANA TRAORE</t>
  </si>
  <si>
    <t>PORT 775217223</t>
  </si>
  <si>
    <t>511H</t>
  </si>
  <si>
    <t>SANTOS HEVICA CORREA</t>
  </si>
  <si>
    <t>GUEULE TAPEE 775915219</t>
  </si>
  <si>
    <r>
      <rPr>
        <b/>
        <sz val="11"/>
        <color theme="1"/>
        <rFont val="Calibri"/>
        <family val="2"/>
        <scheme val="minor"/>
      </rPr>
      <t xml:space="preserve">PALU GRAVE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 xml:space="preserve"> ANEMIE/RENAL </t>
    </r>
  </si>
  <si>
    <t>517H</t>
  </si>
  <si>
    <t>GERMAINE MENDY</t>
  </si>
  <si>
    <t>NIARY TALLY 772336580</t>
  </si>
  <si>
    <t>506H</t>
  </si>
  <si>
    <t>ANDRE LATYR BENGA</t>
  </si>
  <si>
    <t>ZONE B /776484707</t>
  </si>
  <si>
    <t>473H</t>
  </si>
  <si>
    <t>ISMAILA BALDE</t>
  </si>
  <si>
    <t>MERMOZ 774385315</t>
  </si>
  <si>
    <t>TUBERCULOSE MULTIFOCALE</t>
  </si>
  <si>
    <t>478H</t>
  </si>
  <si>
    <t>FATOU DIOUF</t>
  </si>
  <si>
    <t>LAC ROSE 783761245</t>
  </si>
  <si>
    <t>TB PULMONAIRE+NEUROMENING</t>
  </si>
  <si>
    <t>509H</t>
  </si>
  <si>
    <t>SODA GUEYE</t>
  </si>
  <si>
    <t>THIAROYE 776681812</t>
  </si>
  <si>
    <t>INFECTION URINAIRE RECIDIVANTE</t>
  </si>
  <si>
    <t>DENGUE</t>
  </si>
  <si>
    <t>487H</t>
  </si>
  <si>
    <t>SAMBA FALL</t>
  </si>
  <si>
    <t>ALMADIES 784682451</t>
  </si>
  <si>
    <t>ERYSIPELE MEMBRE INF GAUCHE</t>
  </si>
  <si>
    <t>518H</t>
  </si>
  <si>
    <t>FATOU DIABY</t>
  </si>
  <si>
    <t>PIKINE 779898082</t>
  </si>
  <si>
    <t>519HBIS</t>
  </si>
  <si>
    <t>ANNA DIOP</t>
  </si>
  <si>
    <t>THIAROYE 766909743</t>
  </si>
  <si>
    <r>
      <rPr>
        <b/>
        <sz val="11"/>
        <color theme="1"/>
        <rFont val="Calibri"/>
        <family val="2"/>
        <scheme val="minor"/>
      </rPr>
      <t>PALUDISME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GE+</t>
    </r>
  </si>
  <si>
    <t>513H</t>
  </si>
  <si>
    <t>MARIE CHRISTINE NDIAYE</t>
  </si>
  <si>
    <t>PA 771225255</t>
  </si>
  <si>
    <t>SEPSIS SUR NEPHROPATHIE</t>
  </si>
  <si>
    <t>522H</t>
  </si>
  <si>
    <t>ALY SYLLA</t>
  </si>
  <si>
    <t>NIARY TALLY 775795334</t>
  </si>
  <si>
    <r>
      <rPr>
        <b/>
        <sz val="11"/>
        <color theme="1"/>
        <rFont val="Calibri"/>
        <family val="2"/>
        <scheme val="minor"/>
      </rPr>
      <t>ACCES PALUSTRE</t>
    </r>
    <r>
      <rPr>
        <b/>
        <sz val="11"/>
        <color rgb="FFFF0000"/>
        <rFont val="Calibri"/>
        <family val="2"/>
        <scheme val="minor"/>
      </rPr>
      <t xml:space="preserve"> GE+</t>
    </r>
  </si>
  <si>
    <t>524H</t>
  </si>
  <si>
    <t>AWA NDONG</t>
  </si>
  <si>
    <t>NIARI TALY 768559961</t>
  </si>
  <si>
    <t>510H</t>
  </si>
  <si>
    <t>DIAW TALLA</t>
  </si>
  <si>
    <t>KEUR MASAR 775336073</t>
  </si>
  <si>
    <t>MENINGOENCEPHALITE BACT.</t>
  </si>
  <si>
    <t>488H</t>
  </si>
  <si>
    <t>YANCOUBA COLY</t>
  </si>
  <si>
    <t>PA 775366502</t>
  </si>
  <si>
    <t>TB XFOCALE PULM,NEUROMEN ET DISCOVEREBRALE</t>
  </si>
  <si>
    <t>515H</t>
  </si>
  <si>
    <t>CLARISSE BADIANE</t>
  </si>
  <si>
    <t>CITE ALIOU SOW 773528802</t>
  </si>
  <si>
    <t>SD CONFUSIONNEL/R1</t>
  </si>
  <si>
    <t>527H</t>
  </si>
  <si>
    <t>CHEIKH TOURABY DIABY</t>
  </si>
  <si>
    <t>THIAROYE 775843100</t>
  </si>
  <si>
    <t>PNEUMONI+CIVD SUR DREPANOSS</t>
  </si>
  <si>
    <t>525H</t>
  </si>
  <si>
    <t>MOUHAMED DIALLO</t>
  </si>
  <si>
    <t>GUEULE TAPEE 779911815</t>
  </si>
  <si>
    <t>INFECTION A VIH</t>
  </si>
  <si>
    <t>468H</t>
  </si>
  <si>
    <t>KEBA BAYO</t>
  </si>
  <si>
    <t>GUEDIAWAY 709376433</t>
  </si>
  <si>
    <t xml:space="preserve">IO </t>
  </si>
  <si>
    <t>IO A LOC DIGESTIVE/1</t>
  </si>
  <si>
    <t>519H</t>
  </si>
  <si>
    <t>LOLITA BASSE</t>
  </si>
  <si>
    <t>GUEDIAWAYE 777363806</t>
  </si>
  <si>
    <t>512H</t>
  </si>
  <si>
    <t>ABDOU BAAR</t>
  </si>
  <si>
    <t>YOFF 772222593</t>
  </si>
  <si>
    <t>MENINGOENCEPHALITE INFECT./R1</t>
  </si>
  <si>
    <t>477H</t>
  </si>
  <si>
    <t>BISSINTY MENDY</t>
  </si>
  <si>
    <t>GUEDIAWAYE 776473682</t>
  </si>
  <si>
    <t>MLDIE DE KAPOSI +TB XFOCALE/R1</t>
  </si>
  <si>
    <t>465H</t>
  </si>
  <si>
    <t>FALLILOU GUEYE</t>
  </si>
  <si>
    <t>PA U6/777426366</t>
  </si>
  <si>
    <r>
      <rPr>
        <b/>
        <sz val="11"/>
        <color theme="1"/>
        <rFont val="Calibri"/>
        <family val="2"/>
        <scheme val="minor"/>
      </rPr>
      <t>ACCES PALUSTRE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TDR+</t>
    </r>
  </si>
  <si>
    <t>466H</t>
  </si>
  <si>
    <t>MIRIAME MBANNE</t>
  </si>
  <si>
    <t xml:space="preserve">HLM </t>
  </si>
  <si>
    <t>ULCERE GASTRIQUE</t>
  </si>
  <si>
    <t>467H</t>
  </si>
  <si>
    <t>BOUSSO NDIAYE</t>
  </si>
  <si>
    <t>DALIFORT 775184465</t>
  </si>
  <si>
    <t>SAMONELLOSE</t>
  </si>
  <si>
    <t>469H</t>
  </si>
  <si>
    <t>MAMADOU SALL</t>
  </si>
  <si>
    <t xml:space="preserve">RUFISQUE </t>
  </si>
  <si>
    <t>472H</t>
  </si>
  <si>
    <t xml:space="preserve">LATIFA EL ABIARI </t>
  </si>
  <si>
    <t>MEDINA 773171819</t>
  </si>
  <si>
    <t xml:space="preserve">ACCES PALUSTRE </t>
  </si>
  <si>
    <t>475H</t>
  </si>
  <si>
    <t>KHADY COLY</t>
  </si>
  <si>
    <t>DIAMNIADIO 779846703</t>
  </si>
  <si>
    <t>473HBIS</t>
  </si>
  <si>
    <t>MACTAR BA</t>
  </si>
  <si>
    <t>MALIKA 779021001</t>
  </si>
  <si>
    <t>PA</t>
  </si>
  <si>
    <t>482H</t>
  </si>
  <si>
    <t>NDEYE MARIEME FALL</t>
  </si>
  <si>
    <t>489H</t>
  </si>
  <si>
    <t>ISMAILA SARR</t>
  </si>
  <si>
    <t>KEUR MASSAR 775479025</t>
  </si>
  <si>
    <t>492H</t>
  </si>
  <si>
    <t>IBRAHIMA LEYE</t>
  </si>
  <si>
    <t>RUFISQUE 766543173</t>
  </si>
  <si>
    <t>498H</t>
  </si>
  <si>
    <t>ALFRED ASSOU MENSA</t>
  </si>
  <si>
    <t>SICAP FOIRE 781672819</t>
  </si>
  <si>
    <t>HLM5 760172040</t>
  </si>
  <si>
    <t>DECOMPENSATION VHB</t>
  </si>
  <si>
    <t>505H</t>
  </si>
  <si>
    <t>ABY SOW</t>
  </si>
  <si>
    <r>
      <rPr>
        <b/>
        <sz val="11"/>
        <color theme="1"/>
        <rFont val="Calibri"/>
        <family val="2"/>
        <scheme val="minor"/>
      </rPr>
      <t>PALU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 xml:space="preserve"> </t>
    </r>
  </si>
  <si>
    <t>514H</t>
  </si>
  <si>
    <t>KEUR MASSAR 777118611</t>
  </si>
  <si>
    <t>TB PERITONEALE</t>
  </si>
  <si>
    <t>516H</t>
  </si>
  <si>
    <t>NDIOGOU DIOP</t>
  </si>
  <si>
    <t>FADIA 774545202</t>
  </si>
  <si>
    <t>SPONDYLODISCITE TB</t>
  </si>
  <si>
    <t>520H</t>
  </si>
  <si>
    <t xml:space="preserve">YOUMA DIAKHATE </t>
  </si>
  <si>
    <t>PIKINE 775729513</t>
  </si>
  <si>
    <t>TB MULTIRESISTANTE</t>
  </si>
  <si>
    <t>521H</t>
  </si>
  <si>
    <t xml:space="preserve">DJIBRIL SOUARE </t>
  </si>
  <si>
    <t>PA U6 775180976</t>
  </si>
  <si>
    <t>523H</t>
  </si>
  <si>
    <t>AMINATA DIA</t>
  </si>
  <si>
    <t>GUEULE TAPEE 774284485</t>
  </si>
  <si>
    <t>523HBIS</t>
  </si>
  <si>
    <t>NDEYE SOKHNA NDIAYE</t>
  </si>
  <si>
    <r>
      <t xml:space="preserve">PALU GRAVE </t>
    </r>
    <r>
      <rPr>
        <b/>
        <sz val="11"/>
        <color rgb="FFFF0000"/>
        <rFont val="Calibri"/>
        <family val="2"/>
        <scheme val="minor"/>
      </rPr>
      <t>GE+</t>
    </r>
  </si>
  <si>
    <t>526H</t>
  </si>
  <si>
    <t>MOR SANE</t>
  </si>
  <si>
    <t>528H</t>
  </si>
  <si>
    <t>BINETA DIENE</t>
  </si>
  <si>
    <t>GRD MBAO 776325991</t>
  </si>
  <si>
    <t>529H</t>
  </si>
  <si>
    <t>ABDOU LAHAT DIAKHATE</t>
  </si>
  <si>
    <t>DIAMAGUENE 776250031</t>
  </si>
  <si>
    <t>530H</t>
  </si>
  <si>
    <t>MAREME GUEYE NIANG</t>
  </si>
  <si>
    <t>MAMELLES 776447705</t>
  </si>
  <si>
    <t>531H</t>
  </si>
  <si>
    <t>CHEIKHOUNA LY</t>
  </si>
  <si>
    <t>DIEUPPEUL 2/773677156</t>
  </si>
  <si>
    <t>532H</t>
  </si>
  <si>
    <t>552H</t>
  </si>
  <si>
    <t>MAMADOU BARA NIANG</t>
  </si>
  <si>
    <t>COLOBANE 774365049</t>
  </si>
  <si>
    <t>539H</t>
  </si>
  <si>
    <t>BINTA DIALLO</t>
  </si>
  <si>
    <t>ZONE B /775294445</t>
  </si>
  <si>
    <t>DENGUE ASSOCIEE A UNE FIEVRE TYPHOIDE PROBABLE</t>
  </si>
  <si>
    <t>542H</t>
  </si>
  <si>
    <t>ABDOULAYE LO</t>
  </si>
  <si>
    <t>GUEDIAWAYE 771555251</t>
  </si>
  <si>
    <t>DENGUE SEVERE</t>
  </si>
  <si>
    <t>550H</t>
  </si>
  <si>
    <t>MOUSSA NDAO</t>
  </si>
  <si>
    <t>MEDINA 774585219</t>
  </si>
  <si>
    <t>IO DIGESTIVE/R1</t>
  </si>
  <si>
    <t>555H</t>
  </si>
  <si>
    <t>ADAMA WANE</t>
  </si>
  <si>
    <t>KEUR MASSAR 703329880</t>
  </si>
  <si>
    <t>OTALGIE REFLEXE</t>
  </si>
  <si>
    <t>557H</t>
  </si>
  <si>
    <t>SEYDINA Ababacar MBENGUE</t>
  </si>
  <si>
    <t>OUAGOU NIAYES /776525413</t>
  </si>
  <si>
    <t>INFECTION URINAIRE HTE A ESCHERICHIA COLI</t>
  </si>
  <si>
    <t>INFECTION DES BAS APPAREILS URINAIRES</t>
  </si>
  <si>
    <t>547H</t>
  </si>
  <si>
    <t>IBRAHIMA DIOUF</t>
  </si>
  <si>
    <t>THIES DIAKHAW 771075015</t>
  </si>
  <si>
    <t>534H</t>
  </si>
  <si>
    <t>MEDINA 776970995</t>
  </si>
  <si>
    <t>ILIMANE NDOUR</t>
  </si>
  <si>
    <t>541H</t>
  </si>
  <si>
    <t>MAME DIARRA LO</t>
  </si>
  <si>
    <t>GUEDIAWAYE 780105039</t>
  </si>
  <si>
    <t>DIEUPPEUL 776466768</t>
  </si>
  <si>
    <t>PNEUMOPATHIE</t>
  </si>
  <si>
    <t>OUAKAM 771714778</t>
  </si>
  <si>
    <t>546H</t>
  </si>
  <si>
    <t>ANTA NDONG</t>
  </si>
  <si>
    <t>CITE ALIOUNE SOW 709717754</t>
  </si>
  <si>
    <t>536H</t>
  </si>
  <si>
    <t>AMADOU MACTAR NDOUR</t>
  </si>
  <si>
    <t>ALMADIES 2/776446600</t>
  </si>
  <si>
    <t>SUSPICION ARBOVIROSE</t>
  </si>
  <si>
    <t>538H</t>
  </si>
  <si>
    <t>ALIOUNE BADARA FAYE</t>
  </si>
  <si>
    <t>KEUR MBAY FALL 775571419</t>
  </si>
  <si>
    <t>SYPHILIS + GEA /R1</t>
  </si>
  <si>
    <t>542HBIS</t>
  </si>
  <si>
    <t>ABDOULAYE SAMBA KANE</t>
  </si>
  <si>
    <t>MBOUR 778000251</t>
  </si>
  <si>
    <t>TOXOPLASMOSE CEREBRALE /R1</t>
  </si>
  <si>
    <t xml:space="preserve">ARBOVIROSE </t>
  </si>
  <si>
    <t>EL HADJ MALICK MBODJ</t>
  </si>
  <si>
    <r>
      <rPr>
        <b/>
        <sz val="11"/>
        <color theme="1"/>
        <rFont val="Calibri"/>
        <family val="2"/>
        <scheme val="minor"/>
      </rPr>
      <t>ACCES PALUSTRE SIMPLE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GE-</t>
    </r>
  </si>
  <si>
    <t>535H</t>
  </si>
  <si>
    <t>TALLA BA</t>
  </si>
  <si>
    <t>OUEST FOIRE 775143126</t>
  </si>
  <si>
    <t xml:space="preserve">APPENDICITE AIGUE </t>
  </si>
  <si>
    <t>HPD</t>
  </si>
  <si>
    <t>533H</t>
  </si>
  <si>
    <t>NOUMBE MAGUEYE GUEYE</t>
  </si>
  <si>
    <t>HLM 777060288</t>
  </si>
  <si>
    <t>SUSPICION DE NEOPLASIE</t>
  </si>
  <si>
    <t>MEDINA 779163414</t>
  </si>
  <si>
    <r>
      <t xml:space="preserve">PALU GRAVE  </t>
    </r>
    <r>
      <rPr>
        <b/>
        <sz val="11"/>
        <color rgb="FFFF0000"/>
        <rFont val="Calibri"/>
        <family val="2"/>
        <scheme val="minor"/>
      </rPr>
      <t>GE+</t>
    </r>
  </si>
  <si>
    <t>513HBIS</t>
  </si>
  <si>
    <t>ABIBOU SAMB</t>
  </si>
  <si>
    <t>LIBERTE 1/776586788</t>
  </si>
  <si>
    <t>PLEUROPNEUMOPATHIE BACT.</t>
  </si>
  <si>
    <t>561H</t>
  </si>
  <si>
    <t>LIMALE FALL</t>
  </si>
  <si>
    <t>KEUR MASSAR 777765189</t>
  </si>
  <si>
    <t>545H</t>
  </si>
  <si>
    <t>MOUSSA DIAWARA</t>
  </si>
  <si>
    <t>MEDINA 785810751</t>
  </si>
  <si>
    <t>559H</t>
  </si>
  <si>
    <t>MAMADOU MANSOUR FALL</t>
  </si>
  <si>
    <t>FADIA 776120406</t>
  </si>
  <si>
    <t>551H</t>
  </si>
  <si>
    <t>DAOUDA TALL</t>
  </si>
  <si>
    <t>GUEDIAWAYE 771135010</t>
  </si>
  <si>
    <t>548H</t>
  </si>
  <si>
    <t>8ans</t>
  </si>
  <si>
    <t>YEUMBEUL 781313576</t>
  </si>
  <si>
    <t>543H</t>
  </si>
  <si>
    <t>SARA BA</t>
  </si>
  <si>
    <t>10ans</t>
  </si>
  <si>
    <t>COLOBANE 705862925</t>
  </si>
  <si>
    <t>MENINGOENCEPHALITE  BACT/VIRALE PROBABLE</t>
  </si>
  <si>
    <t>556H</t>
  </si>
  <si>
    <t>MOUSSA DABO</t>
  </si>
  <si>
    <t>KEUR MASSAR 776119544</t>
  </si>
  <si>
    <t>561HBIS</t>
  </si>
  <si>
    <t>AROUNA DEME</t>
  </si>
  <si>
    <t>ZONE B /775470005</t>
  </si>
  <si>
    <t>579HBIS</t>
  </si>
  <si>
    <t xml:space="preserve">EL MALICK </t>
  </si>
  <si>
    <t>PROBABLE TB PULM.ET GG</t>
  </si>
  <si>
    <t>ANDREIA AFONSO PEREIRA FORTES</t>
  </si>
  <si>
    <t>571H</t>
  </si>
  <si>
    <t>FATIMA FALL</t>
  </si>
  <si>
    <t>MEDINA RUE 17X18 /774887584</t>
  </si>
  <si>
    <t>GASTRO ENTERITE CHRONIQUE /R1+DESHYDRATATION SEVERE</t>
  </si>
  <si>
    <t>570H</t>
  </si>
  <si>
    <t>GABRIELLE ZAMA</t>
  </si>
  <si>
    <t>OUEST FOIRE 784623247</t>
  </si>
  <si>
    <t>BACTERIEMIE</t>
  </si>
  <si>
    <t>574H</t>
  </si>
  <si>
    <t>ALI MANSARE</t>
  </si>
  <si>
    <t>MEDINA 778690533</t>
  </si>
  <si>
    <t>569H</t>
  </si>
  <si>
    <t>GRD YOFF 769725610</t>
  </si>
  <si>
    <t>572H</t>
  </si>
  <si>
    <t>MASS BA</t>
  </si>
  <si>
    <t>GOLF SUD 779430036</t>
  </si>
  <si>
    <t>TB BIFOCALE NEUROMENINGEE ET PULMONAIR</t>
  </si>
  <si>
    <t>573H</t>
  </si>
  <si>
    <t>MAME BIRAME BARRE DIOUF</t>
  </si>
  <si>
    <t>GUEDIAWAYE 771924088</t>
  </si>
  <si>
    <t>575H</t>
  </si>
  <si>
    <t>DJEYNABA THIAM</t>
  </si>
  <si>
    <t>TIVAOUANE PEUL 776797040</t>
  </si>
  <si>
    <t>560H</t>
  </si>
  <si>
    <t>MARIAMA DIOP</t>
  </si>
  <si>
    <t>OUAKAM 778579106</t>
  </si>
  <si>
    <t>558H</t>
  </si>
  <si>
    <t>CAROLLE MELISSA DAKOURI</t>
  </si>
  <si>
    <t>FASS 2 /774195905</t>
  </si>
  <si>
    <t>553H</t>
  </si>
  <si>
    <t>MOMAR GUEYE</t>
  </si>
  <si>
    <t>POINT E/775427612</t>
  </si>
  <si>
    <t>SEPTICEMIE A PEX LOCALISAT. PULM ET NEURO</t>
  </si>
  <si>
    <t>554H</t>
  </si>
  <si>
    <t>YOFF 776585909</t>
  </si>
  <si>
    <t xml:space="preserve">TB PULMONAIRE </t>
  </si>
  <si>
    <t>ALY OUSMANE NDIAYE</t>
  </si>
  <si>
    <t>549H</t>
  </si>
  <si>
    <t>DAKAR 776800765</t>
  </si>
  <si>
    <t>NEOPLASIE BRONCOPULMONAIRE</t>
  </si>
  <si>
    <t>KAOLACK 775030730</t>
  </si>
  <si>
    <t>579H</t>
  </si>
  <si>
    <t>OUSMANE BA</t>
  </si>
  <si>
    <t>GADAYE 775854004</t>
  </si>
  <si>
    <t>ENCEPHALITE AIGUE BACT/VIRALE</t>
  </si>
  <si>
    <t>578H</t>
  </si>
  <si>
    <t>CIRA SOW</t>
  </si>
  <si>
    <t>GRD YOFF 785077170</t>
  </si>
  <si>
    <t>LYMPHOME NON HODGKINIEN PROBABLE</t>
  </si>
  <si>
    <t>568H</t>
  </si>
  <si>
    <t>ZAC MBAO 788907999</t>
  </si>
  <si>
    <t>577H</t>
  </si>
  <si>
    <t>ALIOU NDIAYE</t>
  </si>
  <si>
    <t>OUAKAM 775314981</t>
  </si>
  <si>
    <t>580HBIS</t>
  </si>
  <si>
    <t>PIKINE 776524875</t>
  </si>
  <si>
    <t>544H</t>
  </si>
  <si>
    <t>PIKINE 768270247</t>
  </si>
  <si>
    <t>GAGNE SIRE  SOW</t>
  </si>
  <si>
    <t>544HBIS</t>
  </si>
  <si>
    <t>MOUHAMADOU MOUSTAPH DIENE</t>
  </si>
  <si>
    <t>SAINT LOUIS 775620593</t>
  </si>
  <si>
    <t>SEPSIS A KLEBSIELLA PNEUMONIAE</t>
  </si>
  <si>
    <t>537H</t>
  </si>
  <si>
    <t>540H</t>
  </si>
  <si>
    <t>CHEIKH NIASSE</t>
  </si>
  <si>
    <t>CAMBERENE 775294445</t>
  </si>
  <si>
    <t>562H</t>
  </si>
  <si>
    <t>PAPE SAER CAMARA</t>
  </si>
  <si>
    <t>563H</t>
  </si>
  <si>
    <t>SERIGNE MBACKE FALL</t>
  </si>
  <si>
    <t>564H</t>
  </si>
  <si>
    <t>AMADOU BATOR SAKHO</t>
  </si>
  <si>
    <t>BENE BARACK 779701296</t>
  </si>
  <si>
    <t>565H</t>
  </si>
  <si>
    <t>CHEIKH OUMAR TALL</t>
  </si>
  <si>
    <t>PA U13/775633196</t>
  </si>
  <si>
    <t>RECIDIVE DE TB PULM ET NEUROMENINGEE</t>
  </si>
  <si>
    <t>??</t>
  </si>
  <si>
    <t>566H</t>
  </si>
  <si>
    <t>MBENDA KEBE</t>
  </si>
  <si>
    <t xml:space="preserve">KEUR MASSAR </t>
  </si>
  <si>
    <t>567H</t>
  </si>
  <si>
    <t>FASS DELORME 773782179</t>
  </si>
  <si>
    <t>576H</t>
  </si>
  <si>
    <t>NGUEKOKH 779776126</t>
  </si>
  <si>
    <t>580H</t>
  </si>
  <si>
    <t>OUMY DIAKITE</t>
  </si>
  <si>
    <t>GRD DAKAR 776723340</t>
  </si>
  <si>
    <t>581H</t>
  </si>
  <si>
    <t>MAMADOU MAKHTAR NDIONE</t>
  </si>
  <si>
    <t>581HBIS</t>
  </si>
  <si>
    <t>SERIGNE MATAR DIOP</t>
  </si>
  <si>
    <t>THIAROYE 776/805118</t>
  </si>
  <si>
    <t>STAPHYLOCOCCIE MALIGNE DE LA FACE</t>
  </si>
  <si>
    <t>582H</t>
  </si>
  <si>
    <t>ALGHASSIMOU DIALLO</t>
  </si>
  <si>
    <t>KEUR MASSAR 777804421</t>
  </si>
  <si>
    <t>TANAYE DIENG</t>
  </si>
  <si>
    <t>MBOUR 775046051</t>
  </si>
  <si>
    <t>TB PULMONAIRE TB CEREBRALE PROBABLE</t>
  </si>
  <si>
    <r>
      <rPr>
        <b/>
        <sz val="11"/>
        <color theme="1"/>
        <rFont val="Calibri"/>
        <family val="2"/>
        <scheme val="minor"/>
      </rPr>
      <t>PALU GRAVE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>/+MENINGOENCEPHALITE/R1</t>
    </r>
  </si>
  <si>
    <t>579H TRI</t>
  </si>
  <si>
    <t>MARAME MBENGUE</t>
  </si>
  <si>
    <t>HLM 5/774135484</t>
  </si>
  <si>
    <t>PNEUMO</t>
  </si>
  <si>
    <t>SD NEPHROTIQUE IMPUR</t>
  </si>
  <si>
    <t>TOUBAB DIALAW 776929425</t>
  </si>
  <si>
    <r>
      <rPr>
        <b/>
        <sz val="11"/>
        <color theme="1"/>
        <rFont val="Calibri"/>
        <family val="2"/>
        <scheme val="minor"/>
      </rPr>
      <t xml:space="preserve">PALU GRAVE </t>
    </r>
    <r>
      <rPr>
        <b/>
        <sz val="11"/>
        <color rgb="FFFF0000"/>
        <rFont val="Calibri"/>
        <family val="2"/>
        <scheme val="minor"/>
      </rPr>
      <t>GE+</t>
    </r>
    <r>
      <rPr>
        <sz val="11"/>
        <color theme="1"/>
        <rFont val="Calibri"/>
        <family val="2"/>
        <scheme val="minor"/>
      </rPr>
      <t>/+ PNEUMOPATHIE A/R1</t>
    </r>
  </si>
  <si>
    <t>ST LOUIS 775620593</t>
  </si>
  <si>
    <t>SEPSIS A KLEBSIELLE PNEUMONIAE + DEFAILLA</t>
  </si>
  <si>
    <t>GRD DAKAR 776391757</t>
  </si>
  <si>
    <t>BACTERIEMIE A E. COLI SUR ARTHROSE CERVIC</t>
  </si>
  <si>
    <t>TETANOS AIGU GENERALISE A PE TEGUMENT.</t>
  </si>
  <si>
    <t>389HBIS</t>
  </si>
  <si>
    <t>ALASSANE BALLE NDIAYE</t>
  </si>
  <si>
    <t>CENTENAIRE 59 BLD DEGAULE/778745614</t>
  </si>
  <si>
    <t>DCD/REA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</si>
</sst>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18" fontId="0" fillId="0" borderId="1" xfId="0" applyNumberFormat="1" applyBorder="1"/>
    <xf numFmtId="16" fontId="0" fillId="0" borderId="1" xfId="0" applyNumberFormat="1" applyBorder="1"/>
    <xf numFmtId="0" fontId="0" fillId="0" borderId="2" xfId="0" applyFill="1" applyBorder="1"/>
    <xf numFmtId="14" fontId="0" fillId="0" borderId="0" xfId="0" applyNumberFormat="1"/>
    <xf numFmtId="0" fontId="3" fillId="0" borderId="1" xfId="0" applyFont="1" applyBorder="1"/>
    <xf numFmtId="14" fontId="3" fillId="0" borderId="1" xfId="0" applyNumberFormat="1" applyFont="1" applyBorder="1"/>
    <xf numFmtId="0" fontId="3" fillId="0" borderId="0" xfId="0" applyFont="1"/>
    <xf numFmtId="0" fontId="4" fillId="0" borderId="1" xfId="0" applyFont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0" xfId="0" applyFill="1"/>
    <xf numFmtId="0" fontId="5" fillId="3" borderId="0" xfId="0" applyFont="1" applyFill="1"/>
    <xf numFmtId="0" fontId="4" fillId="0" borderId="0" xfId="0" applyFont="1"/>
    <xf numFmtId="0" fontId="0" fillId="5" borderId="1" xfId="0" applyFill="1" applyBorder="1"/>
    <xf numFmtId="0" fontId="0" fillId="5" borderId="0" xfId="0" applyFill="1"/>
    <xf numFmtId="14" fontId="0" fillId="5" borderId="1" xfId="0" applyNumberFormat="1" applyFill="1" applyBorder="1"/>
    <xf numFmtId="0" fontId="0" fillId="6" borderId="0" xfId="0" applyFill="1"/>
    <xf numFmtId="0" fontId="1" fillId="0" borderId="1" xfId="0" applyFont="1" applyBorder="1"/>
    <xf numFmtId="14" fontId="1" fillId="0" borderId="1" xfId="0" applyNumberFormat="1" applyFont="1" applyBorder="1"/>
    <xf numFmtId="0" fontId="8" fillId="7" borderId="0" xfId="0" applyFont="1" applyFill="1"/>
    <xf numFmtId="0" fontId="3" fillId="8" borderId="0" xfId="0" applyFont="1" applyFill="1"/>
    <xf numFmtId="0" fontId="0" fillId="9" borderId="0" xfId="0" applyFill="1"/>
    <xf numFmtId="0" fontId="0" fillId="0" borderId="1" xfId="0" applyFont="1" applyBorder="1"/>
    <xf numFmtId="0" fontId="0" fillId="8" borderId="1" xfId="0" applyFill="1" applyBorder="1"/>
    <xf numFmtId="0" fontId="0" fillId="8" borderId="0" xfId="0" applyFill="1"/>
    <xf numFmtId="0" fontId="0" fillId="0" borderId="1" xfId="0" applyFill="1" applyBorder="1"/>
    <xf numFmtId="0" fontId="0" fillId="0" borderId="0" xfId="0" applyFill="1"/>
    <xf numFmtId="0" fontId="11" fillId="0" borderId="1" xfId="0" applyFont="1" applyBorder="1"/>
    <xf numFmtId="0" fontId="11" fillId="5" borderId="1" xfId="0" applyFont="1" applyFill="1" applyBorder="1"/>
    <xf numFmtId="14" fontId="0" fillId="0" borderId="1" xfId="0" applyNumberFormat="1" applyFont="1" applyBorder="1"/>
    <xf numFmtId="0" fontId="0" fillId="10" borderId="1" xfId="0" applyFill="1" applyBorder="1"/>
    <xf numFmtId="14" fontId="0" fillId="10" borderId="1" xfId="0" applyNumberFormat="1" applyFill="1" applyBorder="1"/>
    <xf numFmtId="0" fontId="0" fillId="10" borderId="0" xfId="0" applyFill="1"/>
    <xf numFmtId="0" fontId="1" fillId="10" borderId="1" xfId="0" applyFont="1" applyFill="1" applyBorder="1"/>
    <xf numFmtId="0" fontId="1" fillId="10" borderId="0" xfId="0" applyFont="1" applyFill="1"/>
    <xf numFmtId="0" fontId="0" fillId="7" borderId="1" xfId="0" applyFill="1" applyBorder="1"/>
    <xf numFmtId="14" fontId="0" fillId="7" borderId="1" xfId="0" applyNumberFormat="1" applyFill="1" applyBorder="1"/>
    <xf numFmtId="0" fontId="0" fillId="7" borderId="0" xfId="0" applyFill="1"/>
    <xf numFmtId="0" fontId="11" fillId="10" borderId="1" xfId="0" applyFont="1" applyFill="1" applyBorder="1"/>
    <xf numFmtId="0" fontId="1" fillId="0" borderId="0" xfId="0" applyFont="1"/>
    <xf numFmtId="0" fontId="13" fillId="0" borderId="0" xfId="0" applyFont="1"/>
    <xf numFmtId="0" fontId="14" fillId="0" borderId="0" xfId="0" applyFont="1"/>
    <xf numFmtId="14" fontId="1" fillId="10" borderId="1" xfId="0" applyNumberFormat="1" applyFont="1" applyFill="1" applyBorder="1"/>
    <xf numFmtId="14" fontId="1" fillId="7" borderId="1" xfId="0" applyNumberFormat="1" applyFont="1" applyFill="1" applyBorder="1"/>
    <xf numFmtId="0" fontId="0" fillId="11" borderId="0" xfId="0" applyFill="1"/>
    <xf numFmtId="0" fontId="0" fillId="12" borderId="1" xfId="0" applyFill="1" applyBorder="1"/>
    <xf numFmtId="0" fontId="0" fillId="12" borderId="0" xfId="0" applyFill="1"/>
    <xf numFmtId="0" fontId="0" fillId="7" borderId="1" xfId="0" applyNumberFormat="1" applyFill="1" applyBorder="1"/>
    <xf numFmtId="0" fontId="0" fillId="13" borderId="1" xfId="0" applyFill="1" applyBorder="1"/>
    <xf numFmtId="14" fontId="0" fillId="13" borderId="1" xfId="0" applyNumberFormat="1" applyFill="1" applyBorder="1"/>
    <xf numFmtId="0" fontId="0" fillId="13" borderId="1" xfId="0" applyNumberFormat="1" applyFill="1" applyBorder="1"/>
    <xf numFmtId="0" fontId="0" fillId="13" borderId="0" xfId="0" applyFill="1"/>
    <xf numFmtId="0" fontId="1" fillId="13" borderId="1" xfId="0" applyFont="1" applyFill="1" applyBorder="1"/>
    <xf numFmtId="0" fontId="11" fillId="13" borderId="1" xfId="0" applyFont="1" applyFill="1" applyBorder="1"/>
    <xf numFmtId="14" fontId="1" fillId="13" borderId="1" xfId="0" applyNumberFormat="1" applyFont="1" applyFill="1" applyBorder="1"/>
    <xf numFmtId="0" fontId="0" fillId="14" borderId="1" xfId="0" applyFill="1" applyBorder="1"/>
    <xf numFmtId="14" fontId="0" fillId="14" borderId="1" xfId="0" applyNumberFormat="1" applyFill="1" applyBorder="1"/>
    <xf numFmtId="14" fontId="0" fillId="14" borderId="1" xfId="0" applyNumberFormat="1" applyFont="1" applyFill="1" applyBorder="1"/>
    <xf numFmtId="0" fontId="0" fillId="14" borderId="1" xfId="0" applyNumberFormat="1" applyFill="1" applyBorder="1"/>
    <xf numFmtId="0" fontId="11" fillId="14" borderId="1" xfId="0" applyFont="1" applyFill="1" applyBorder="1"/>
    <xf numFmtId="0" fontId="0" fillId="14" borderId="0" xfId="0" applyFill="1"/>
    <xf numFmtId="0" fontId="4" fillId="7" borderId="1" xfId="0" applyFont="1" applyFill="1" applyBorder="1"/>
    <xf numFmtId="0" fontId="1" fillId="7" borderId="1" xfId="0" applyFont="1" applyFill="1" applyBorder="1"/>
    <xf numFmtId="0" fontId="0" fillId="7" borderId="2" xfId="0" applyFill="1" applyBorder="1"/>
    <xf numFmtId="0" fontId="5" fillId="7" borderId="1" xfId="0" applyFont="1" applyFill="1" applyBorder="1"/>
    <xf numFmtId="0" fontId="5" fillId="7" borderId="0" xfId="0" applyFont="1" applyFill="1"/>
    <xf numFmtId="0" fontId="11" fillId="7" borderId="1" xfId="0" applyFont="1" applyFill="1" applyBorder="1"/>
    <xf numFmtId="0" fontId="6" fillId="7" borderId="1" xfId="0" applyFont="1" applyFill="1" applyBorder="1"/>
    <xf numFmtId="0" fontId="3" fillId="7" borderId="0" xfId="0" applyFont="1" applyFill="1"/>
    <xf numFmtId="14" fontId="0" fillId="7" borderId="1" xfId="0" applyNumberFormat="1" applyFont="1" applyFill="1" applyBorder="1"/>
    <xf numFmtId="0" fontId="0" fillId="7" borderId="1" xfId="0" applyFont="1" applyFill="1" applyBorder="1"/>
    <xf numFmtId="14" fontId="1" fillId="14" borderId="1" xfId="0" applyNumberFormat="1" applyFont="1" applyFill="1" applyBorder="1"/>
    <xf numFmtId="0" fontId="1" fillId="14" borderId="1" xfId="0" applyFont="1" applyFill="1" applyBorder="1"/>
    <xf numFmtId="14" fontId="0" fillId="13" borderId="1" xfId="0" applyNumberFormat="1" applyFont="1" applyFill="1" applyBorder="1"/>
    <xf numFmtId="0" fontId="7" fillId="7" borderId="1" xfId="0" applyFont="1" applyFill="1" applyBorder="1"/>
    <xf numFmtId="0" fontId="4" fillId="7" borderId="0" xfId="0" applyFont="1" applyFill="1"/>
    <xf numFmtId="0" fontId="4" fillId="13" borderId="1" xfId="0" applyFont="1" applyFill="1" applyBorder="1"/>
    <xf numFmtId="0" fontId="1" fillId="7" borderId="0" xfId="0" applyFont="1" applyFill="1"/>
    <xf numFmtId="0" fontId="18" fillId="7" borderId="1" xfId="0" applyFont="1" applyFill="1" applyBorder="1"/>
    <xf numFmtId="0" fontId="3" fillId="7" borderId="1" xfId="0" applyFont="1" applyFill="1" applyBorder="1"/>
    <xf numFmtId="14" fontId="3" fillId="7" borderId="1" xfId="0" applyNumberFormat="1" applyFont="1" applyFill="1" applyBorder="1"/>
    <xf numFmtId="0" fontId="9" fillId="7" borderId="1" xfId="0" applyFont="1" applyFill="1" applyBorder="1"/>
    <xf numFmtId="0" fontId="10" fillId="7" borderId="1" xfId="0" applyFont="1" applyFill="1" applyBorder="1"/>
    <xf numFmtId="0" fontId="0" fillId="15" borderId="1" xfId="0" applyFill="1" applyBorder="1"/>
    <xf numFmtId="14" fontId="0" fillId="15" borderId="1" xfId="0" applyNumberFormat="1" applyFill="1" applyBorder="1"/>
    <xf numFmtId="0" fontId="0" fillId="15" borderId="1" xfId="0" applyNumberFormat="1" applyFill="1" applyBorder="1"/>
    <xf numFmtId="0" fontId="11" fillId="15" borderId="1" xfId="0" applyFont="1" applyFill="1" applyBorder="1"/>
    <xf numFmtId="0" fontId="4" fillId="15" borderId="1" xfId="0" applyFont="1" applyFill="1" applyBorder="1"/>
    <xf numFmtId="0" fontId="0" fillId="15" borderId="0" xfId="0" applyFill="1"/>
    <xf numFmtId="14" fontId="1" fillId="15" borderId="1" xfId="0" applyNumberFormat="1" applyFont="1" applyFill="1" applyBorder="1"/>
    <xf numFmtId="0" fontId="1" fillId="15" borderId="1" xfId="0" applyFont="1" applyFill="1" applyBorder="1"/>
    <xf numFmtId="14" fontId="0" fillId="15" borderId="1" xfId="0" applyNumberFormat="1" applyFont="1" applyFill="1" applyBorder="1"/>
    <xf numFmtId="0" fontId="12" fillId="7" borderId="1" xfId="0" applyFont="1" applyFill="1" applyBorder="1"/>
    <xf numFmtId="0" fontId="0" fillId="15" borderId="1" xfId="0" applyFont="1" applyFill="1" applyBorder="1"/>
    <xf numFmtId="0" fontId="0" fillId="15" borderId="1" xfId="0" applyNumberFormat="1" applyFont="1" applyFill="1" applyBorder="1"/>
    <xf numFmtId="0" fontId="0" fillId="15" borderId="0" xfId="0" applyFont="1" applyFill="1"/>
    <xf numFmtId="0" fontId="0" fillId="16" borderId="1" xfId="0" applyFill="1" applyBorder="1"/>
    <xf numFmtId="14" fontId="0" fillId="16" borderId="1" xfId="0" applyNumberFormat="1" applyFill="1" applyBorder="1"/>
    <xf numFmtId="0" fontId="0" fillId="16" borderId="1" xfId="0" applyNumberFormat="1" applyFill="1" applyBorder="1"/>
    <xf numFmtId="0" fontId="0" fillId="16" borderId="1" xfId="0" applyFont="1" applyFill="1" applyBorder="1"/>
    <xf numFmtId="0" fontId="0" fillId="16" borderId="0" xfId="0" applyFill="1"/>
    <xf numFmtId="0" fontId="0" fillId="14" borderId="1" xfId="0" applyFill="1" applyBorder="1" applyAlignment="1">
      <alignment horizontal="left"/>
    </xf>
    <xf numFmtId="0" fontId="0" fillId="14" borderId="1" xfId="0" applyFont="1" applyFill="1" applyBorder="1"/>
    <xf numFmtId="0" fontId="1" fillId="16" borderId="1" xfId="0" applyFont="1" applyFill="1" applyBorder="1"/>
    <xf numFmtId="14" fontId="11" fillId="13" borderId="1" xfId="0" applyNumberFormat="1" applyFont="1" applyFill="1" applyBorder="1"/>
    <xf numFmtId="14" fontId="1" fillId="16" borderId="1" xfId="0" applyNumberFormat="1" applyFont="1" applyFill="1" applyBorder="1"/>
    <xf numFmtId="14" fontId="0" fillId="7" borderId="1" xfId="0" applyNumberFormat="1" applyFont="1" applyFill="1" applyBorder="1" applyAlignment="1">
      <alignment horizontal="right"/>
    </xf>
    <xf numFmtId="0" fontId="11" fillId="16" borderId="1" xfId="0" applyFont="1" applyFill="1" applyBorder="1"/>
    <xf numFmtId="0" fontId="0" fillId="17" borderId="1" xfId="0" applyFill="1" applyBorder="1"/>
    <xf numFmtId="14" fontId="0" fillId="17" borderId="1" xfId="0" applyNumberFormat="1" applyFill="1" applyBorder="1"/>
    <xf numFmtId="14" fontId="0" fillId="17" borderId="1" xfId="0" applyNumberFormat="1" applyFont="1" applyFill="1" applyBorder="1"/>
    <xf numFmtId="0" fontId="0" fillId="17" borderId="1" xfId="0" applyNumberFormat="1" applyFill="1" applyBorder="1"/>
    <xf numFmtId="0" fontId="1" fillId="17" borderId="1" xfId="0" applyFont="1" applyFill="1" applyBorder="1"/>
    <xf numFmtId="0" fontId="0" fillId="17" borderId="0" xfId="0" applyFill="1"/>
    <xf numFmtId="0" fontId="11" fillId="17" borderId="1" xfId="0" applyFont="1" applyFill="1" applyBorder="1"/>
    <xf numFmtId="0" fontId="16" fillId="7" borderId="1" xfId="0" applyFont="1" applyFill="1" applyBorder="1"/>
    <xf numFmtId="14" fontId="1" fillId="17" borderId="1" xfId="0" applyNumberFormat="1" applyFont="1" applyFill="1" applyBorder="1"/>
    <xf numFmtId="0" fontId="0" fillId="7" borderId="1" xfId="0" applyFill="1" applyBorder="1" applyAlignment="1">
      <alignment horizontal="left"/>
    </xf>
    <xf numFmtId="0" fontId="0" fillId="18" borderId="1" xfId="0" applyFill="1" applyBorder="1"/>
    <xf numFmtId="14" fontId="0" fillId="18" borderId="1" xfId="0" applyNumberFormat="1" applyFill="1" applyBorder="1"/>
    <xf numFmtId="14" fontId="1" fillId="18" borderId="1" xfId="0" applyNumberFormat="1" applyFont="1" applyFill="1" applyBorder="1"/>
    <xf numFmtId="0" fontId="0" fillId="18" borderId="1" xfId="0" applyNumberFormat="1" applyFill="1" applyBorder="1"/>
    <xf numFmtId="0" fontId="11" fillId="18" borderId="1" xfId="0" applyFont="1" applyFill="1" applyBorder="1"/>
    <xf numFmtId="0" fontId="1" fillId="18" borderId="1" xfId="0" applyFont="1" applyFill="1" applyBorder="1"/>
    <xf numFmtId="0" fontId="0" fillId="18" borderId="0" xfId="0" applyFill="1"/>
    <xf numFmtId="14" fontId="6" fillId="7" borderId="1" xfId="0" applyNumberFormat="1" applyFont="1" applyFill="1" applyBorder="1"/>
    <xf numFmtId="0" fontId="15" fillId="7" borderId="1" xfId="0" applyFont="1" applyFill="1" applyBorder="1"/>
    <xf numFmtId="0" fontId="17" fillId="7" borderId="1" xfId="0" applyFont="1" applyFill="1" applyBorder="1"/>
    <xf numFmtId="0" fontId="0" fillId="5" borderId="1" xfId="0" applyNumberFormat="1" applyFill="1" applyBorder="1"/>
    <xf numFmtId="0" fontId="1" fillId="5" borderId="1" xfId="0" applyFont="1" applyFill="1" applyBorder="1"/>
    <xf numFmtId="0" fontId="4" fillId="14" borderId="1" xfId="0" applyFont="1" applyFill="1" applyBorder="1"/>
    <xf numFmtId="14" fontId="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opLeftCell="A28" workbookViewId="0">
      <selection activeCell="I48" sqref="I48"/>
    </sheetView>
  </sheetViews>
  <sheetFormatPr baseColWidth="10" defaultRowHeight="15" x14ac:dyDescent="0.25"/>
  <cols>
    <col min="1" max="1" width="15.42578125" customWidth="1"/>
    <col min="2" max="2" width="29.140625" customWidth="1"/>
    <col min="3" max="3" width="13.7109375" customWidth="1"/>
    <col min="4" max="4" width="13.140625" customWidth="1"/>
    <col min="5" max="5" width="14.7109375" customWidth="1"/>
    <col min="8" max="8" width="26.140625" customWidth="1"/>
    <col min="9" max="9" width="24.5703125" customWidth="1"/>
    <col min="10" max="10" width="13.85546875" customWidth="1"/>
  </cols>
  <sheetData>
    <row r="1" spans="1:12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1" t="s">
        <v>85</v>
      </c>
      <c r="B2" s="1" t="s">
        <v>86</v>
      </c>
      <c r="C2" s="4">
        <v>45292</v>
      </c>
      <c r="D2" s="4">
        <v>45303</v>
      </c>
      <c r="E2" s="52">
        <f t="shared" ref="E2:E65" si="0">D2-C2+1</f>
        <v>12</v>
      </c>
      <c r="F2" s="1">
        <v>55</v>
      </c>
      <c r="G2" s="1" t="s">
        <v>14</v>
      </c>
      <c r="H2" s="1" t="s">
        <v>87</v>
      </c>
      <c r="I2" s="1" t="s">
        <v>88</v>
      </c>
      <c r="J2" s="12"/>
      <c r="K2" s="1"/>
      <c r="L2" s="1"/>
    </row>
    <row r="3" spans="1:12" s="56" customFormat="1" x14ac:dyDescent="0.25">
      <c r="A3" s="53" t="s">
        <v>140</v>
      </c>
      <c r="B3" s="53" t="s">
        <v>141</v>
      </c>
      <c r="C3" s="54">
        <v>45293</v>
      </c>
      <c r="D3" s="54">
        <v>45317</v>
      </c>
      <c r="E3" s="55">
        <f t="shared" si="0"/>
        <v>25</v>
      </c>
      <c r="F3" s="53" t="s">
        <v>142</v>
      </c>
      <c r="G3" s="53" t="s">
        <v>143</v>
      </c>
      <c r="H3" s="53" t="s">
        <v>144</v>
      </c>
      <c r="I3" s="58" t="s">
        <v>145</v>
      </c>
      <c r="J3" s="53"/>
      <c r="K3" s="53"/>
      <c r="L3" s="53"/>
    </row>
    <row r="4" spans="1:12" x14ac:dyDescent="0.25">
      <c r="A4" s="5" t="s">
        <v>121</v>
      </c>
      <c r="B4" s="1" t="s">
        <v>122</v>
      </c>
      <c r="C4" s="4">
        <v>45293</v>
      </c>
      <c r="D4" s="34">
        <v>45296</v>
      </c>
      <c r="E4" s="52">
        <f t="shared" si="0"/>
        <v>4</v>
      </c>
      <c r="F4" s="1">
        <v>55</v>
      </c>
      <c r="G4" s="1" t="s">
        <v>14</v>
      </c>
      <c r="H4" s="1" t="s">
        <v>123</v>
      </c>
      <c r="I4" s="1" t="s">
        <v>124</v>
      </c>
      <c r="J4" s="32" t="s">
        <v>125</v>
      </c>
      <c r="K4" s="1"/>
      <c r="L4" s="1"/>
    </row>
    <row r="5" spans="1:12" x14ac:dyDescent="0.25">
      <c r="A5" s="1" t="s">
        <v>94</v>
      </c>
      <c r="B5" s="1" t="s">
        <v>95</v>
      </c>
      <c r="C5" s="4">
        <v>45293</v>
      </c>
      <c r="D5" s="23">
        <v>45297</v>
      </c>
      <c r="E5" s="52">
        <f t="shared" si="0"/>
        <v>5</v>
      </c>
      <c r="F5" s="1">
        <v>57</v>
      </c>
      <c r="G5" s="1" t="s">
        <v>12</v>
      </c>
      <c r="H5" s="1" t="s">
        <v>96</v>
      </c>
      <c r="I5" s="1" t="s">
        <v>97</v>
      </c>
      <c r="J5" s="22" t="s">
        <v>13</v>
      </c>
      <c r="K5" s="1"/>
      <c r="L5" s="1"/>
    </row>
    <row r="6" spans="1:12" x14ac:dyDescent="0.25">
      <c r="A6" s="1" t="s">
        <v>89</v>
      </c>
      <c r="B6" s="1" t="s">
        <v>101</v>
      </c>
      <c r="C6" s="4">
        <v>45299</v>
      </c>
      <c r="D6" s="34">
        <v>45302</v>
      </c>
      <c r="E6" s="52">
        <f t="shared" si="0"/>
        <v>4</v>
      </c>
      <c r="F6" s="1">
        <v>32</v>
      </c>
      <c r="G6" s="1" t="s">
        <v>12</v>
      </c>
      <c r="H6" s="1" t="s">
        <v>102</v>
      </c>
      <c r="I6" s="1" t="s">
        <v>103</v>
      </c>
      <c r="J6" s="22"/>
      <c r="K6" s="1"/>
      <c r="L6" s="1"/>
    </row>
    <row r="7" spans="1:12" x14ac:dyDescent="0.25">
      <c r="A7" s="1" t="s">
        <v>93</v>
      </c>
      <c r="B7" s="1" t="s">
        <v>90</v>
      </c>
      <c r="C7" s="4">
        <v>45296</v>
      </c>
      <c r="D7" s="34">
        <v>45303</v>
      </c>
      <c r="E7" s="52">
        <f t="shared" ref="E7" si="1">D7-C7+1</f>
        <v>8</v>
      </c>
      <c r="F7" s="1">
        <v>85</v>
      </c>
      <c r="G7" s="1" t="s">
        <v>12</v>
      </c>
      <c r="H7" s="1" t="s">
        <v>91</v>
      </c>
      <c r="I7" s="1" t="s">
        <v>92</v>
      </c>
      <c r="J7" s="1"/>
      <c r="K7" s="1"/>
      <c r="L7" s="1"/>
    </row>
    <row r="8" spans="1:12" x14ac:dyDescent="0.25">
      <c r="A8" s="1" t="s">
        <v>98</v>
      </c>
      <c r="B8" s="1" t="s">
        <v>99</v>
      </c>
      <c r="C8" s="4">
        <v>45298</v>
      </c>
      <c r="D8" s="34">
        <v>45302</v>
      </c>
      <c r="E8" s="52">
        <f t="shared" si="0"/>
        <v>5</v>
      </c>
      <c r="F8" s="1">
        <v>98</v>
      </c>
      <c r="G8" s="1" t="s">
        <v>14</v>
      </c>
      <c r="H8" s="1" t="s">
        <v>100</v>
      </c>
      <c r="I8" s="1" t="s">
        <v>40</v>
      </c>
      <c r="J8" s="22"/>
      <c r="K8" s="1"/>
      <c r="L8" s="1"/>
    </row>
    <row r="9" spans="1:12" x14ac:dyDescent="0.25">
      <c r="A9" s="1" t="s">
        <v>168</v>
      </c>
      <c r="B9" s="1" t="s">
        <v>169</v>
      </c>
      <c r="C9" s="4">
        <v>45300</v>
      </c>
      <c r="D9" s="4">
        <v>45314</v>
      </c>
      <c r="E9" s="52">
        <f t="shared" si="0"/>
        <v>15</v>
      </c>
      <c r="F9" s="1">
        <v>60</v>
      </c>
      <c r="G9" s="1" t="s">
        <v>12</v>
      </c>
      <c r="H9" s="1" t="s">
        <v>170</v>
      </c>
      <c r="I9" s="1" t="s">
        <v>171</v>
      </c>
      <c r="J9" s="1"/>
      <c r="K9" s="1"/>
      <c r="L9" s="1"/>
    </row>
    <row r="10" spans="1:12" x14ac:dyDescent="0.25">
      <c r="A10" s="1" t="s">
        <v>113</v>
      </c>
      <c r="B10" s="1" t="s">
        <v>193</v>
      </c>
      <c r="C10" s="4">
        <v>45301</v>
      </c>
      <c r="D10" s="34">
        <v>45324</v>
      </c>
      <c r="E10" s="52">
        <f t="shared" si="0"/>
        <v>24</v>
      </c>
      <c r="F10" s="1">
        <v>40</v>
      </c>
      <c r="G10" s="1" t="s">
        <v>14</v>
      </c>
      <c r="H10" s="1" t="s">
        <v>194</v>
      </c>
      <c r="I10" s="1" t="s">
        <v>195</v>
      </c>
      <c r="J10" s="22"/>
      <c r="K10" s="1"/>
      <c r="L10" s="1"/>
    </row>
    <row r="11" spans="1:12" x14ac:dyDescent="0.25">
      <c r="A11" s="1" t="s">
        <v>112</v>
      </c>
      <c r="B11" s="1" t="s">
        <v>114</v>
      </c>
      <c r="C11" s="4">
        <v>45301</v>
      </c>
      <c r="D11" s="34">
        <v>45308</v>
      </c>
      <c r="E11" s="52">
        <f t="shared" si="0"/>
        <v>8</v>
      </c>
      <c r="F11" s="1">
        <v>58</v>
      </c>
      <c r="G11" s="1" t="s">
        <v>12</v>
      </c>
      <c r="H11" s="1" t="s">
        <v>115</v>
      </c>
      <c r="I11" s="1" t="s">
        <v>116</v>
      </c>
      <c r="J11" s="22"/>
      <c r="K11" s="1"/>
      <c r="L11" s="1"/>
    </row>
    <row r="12" spans="1:12" x14ac:dyDescent="0.25">
      <c r="A12" s="1" t="s">
        <v>220</v>
      </c>
      <c r="B12" s="1" t="s">
        <v>222</v>
      </c>
      <c r="C12" s="4">
        <v>45302</v>
      </c>
      <c r="D12" s="4">
        <v>45331</v>
      </c>
      <c r="E12" s="52">
        <f t="shared" ref="E12" si="2">D12-C12+1</f>
        <v>30</v>
      </c>
      <c r="F12" s="1">
        <v>74</v>
      </c>
      <c r="G12" s="1" t="s">
        <v>12</v>
      </c>
      <c r="H12" s="1" t="s">
        <v>221</v>
      </c>
      <c r="I12" s="1" t="s">
        <v>27</v>
      </c>
      <c r="J12" s="32"/>
      <c r="K12" s="1"/>
      <c r="L12" s="1"/>
    </row>
    <row r="13" spans="1:12" x14ac:dyDescent="0.25">
      <c r="A13" s="1" t="s">
        <v>108</v>
      </c>
      <c r="B13" s="1" t="s">
        <v>109</v>
      </c>
      <c r="C13" s="4">
        <v>45303</v>
      </c>
      <c r="D13" s="4">
        <v>45309</v>
      </c>
      <c r="E13" s="52">
        <f t="shared" si="0"/>
        <v>7</v>
      </c>
      <c r="F13" s="1">
        <v>42</v>
      </c>
      <c r="G13" s="1" t="s">
        <v>12</v>
      </c>
      <c r="H13" s="1" t="s">
        <v>110</v>
      </c>
      <c r="I13" s="1" t="s">
        <v>111</v>
      </c>
      <c r="J13" s="1"/>
      <c r="K13" s="1"/>
      <c r="L13" s="1"/>
    </row>
    <row r="14" spans="1:12" x14ac:dyDescent="0.25">
      <c r="A14" s="1" t="s">
        <v>117</v>
      </c>
      <c r="B14" s="1" t="s">
        <v>118</v>
      </c>
      <c r="C14" s="4">
        <v>45303</v>
      </c>
      <c r="D14" s="23">
        <v>45313</v>
      </c>
      <c r="E14" s="52">
        <f t="shared" si="0"/>
        <v>11</v>
      </c>
      <c r="F14" s="1">
        <v>63</v>
      </c>
      <c r="G14" s="1" t="s">
        <v>12</v>
      </c>
      <c r="H14" s="1" t="s">
        <v>119</v>
      </c>
      <c r="I14" s="1" t="s">
        <v>120</v>
      </c>
      <c r="J14" s="22" t="s">
        <v>13</v>
      </c>
      <c r="K14" s="1"/>
      <c r="L14" s="1"/>
    </row>
    <row r="15" spans="1:12" x14ac:dyDescent="0.25">
      <c r="A15" s="1" t="s">
        <v>192</v>
      </c>
      <c r="B15" s="1" t="s">
        <v>189</v>
      </c>
      <c r="C15" s="6">
        <v>45303</v>
      </c>
      <c r="D15" s="4">
        <v>45327</v>
      </c>
      <c r="E15" s="52">
        <f t="shared" si="0"/>
        <v>25</v>
      </c>
      <c r="F15" s="1">
        <v>28</v>
      </c>
      <c r="G15" s="1" t="s">
        <v>14</v>
      </c>
      <c r="H15" s="1" t="s">
        <v>190</v>
      </c>
      <c r="I15" s="1" t="s">
        <v>191</v>
      </c>
      <c r="J15" s="1"/>
      <c r="K15" s="1"/>
      <c r="L15" s="1"/>
    </row>
    <row r="16" spans="1:12" x14ac:dyDescent="0.25">
      <c r="A16" s="1" t="s">
        <v>104</v>
      </c>
      <c r="B16" s="1" t="s">
        <v>105</v>
      </c>
      <c r="C16" s="4">
        <v>45303</v>
      </c>
      <c r="D16" s="23">
        <v>45305</v>
      </c>
      <c r="E16" s="52">
        <f t="shared" si="0"/>
        <v>3</v>
      </c>
      <c r="F16" s="1">
        <v>73</v>
      </c>
      <c r="G16" s="1" t="s">
        <v>12</v>
      </c>
      <c r="H16" s="1" t="s">
        <v>106</v>
      </c>
      <c r="I16" s="1" t="s">
        <v>107</v>
      </c>
      <c r="J16" s="22" t="s">
        <v>13</v>
      </c>
      <c r="K16" s="1"/>
      <c r="L16" s="1"/>
    </row>
    <row r="17" spans="1:12" x14ac:dyDescent="0.25">
      <c r="A17" s="1" t="s">
        <v>200</v>
      </c>
      <c r="B17" s="1" t="s">
        <v>201</v>
      </c>
      <c r="C17" s="4">
        <v>45304</v>
      </c>
      <c r="D17" s="4">
        <v>45313</v>
      </c>
      <c r="E17" s="52">
        <f t="shared" si="0"/>
        <v>10</v>
      </c>
      <c r="F17" s="1">
        <v>88</v>
      </c>
      <c r="G17" s="1" t="s">
        <v>12</v>
      </c>
      <c r="H17" s="1" t="s">
        <v>202</v>
      </c>
      <c r="I17" s="1" t="s">
        <v>203</v>
      </c>
      <c r="J17" s="1"/>
      <c r="K17" s="1"/>
      <c r="L17" s="1"/>
    </row>
    <row r="18" spans="1:12" x14ac:dyDescent="0.25">
      <c r="A18" s="1" t="s">
        <v>160</v>
      </c>
      <c r="B18" s="1" t="s">
        <v>161</v>
      </c>
      <c r="C18" s="4">
        <v>45304</v>
      </c>
      <c r="D18" s="23">
        <v>45309</v>
      </c>
      <c r="E18" s="52">
        <f t="shared" si="0"/>
        <v>6</v>
      </c>
      <c r="F18" s="1">
        <v>56</v>
      </c>
      <c r="G18" s="1" t="s">
        <v>14</v>
      </c>
      <c r="H18" s="1" t="s">
        <v>162</v>
      </c>
      <c r="I18" s="1" t="s">
        <v>16</v>
      </c>
      <c r="J18" s="22" t="s">
        <v>13</v>
      </c>
      <c r="K18" s="1"/>
      <c r="L18" s="1"/>
    </row>
    <row r="19" spans="1:12" x14ac:dyDescent="0.25">
      <c r="A19" s="1" t="s">
        <v>156</v>
      </c>
      <c r="B19" s="1" t="s">
        <v>157</v>
      </c>
      <c r="C19" s="4">
        <v>45306</v>
      </c>
      <c r="D19" s="4">
        <v>45313</v>
      </c>
      <c r="E19" s="52">
        <f t="shared" si="0"/>
        <v>8</v>
      </c>
      <c r="F19" s="1">
        <v>60</v>
      </c>
      <c r="G19" s="1" t="s">
        <v>14</v>
      </c>
      <c r="H19" s="1" t="s">
        <v>158</v>
      </c>
      <c r="I19" s="1" t="s">
        <v>159</v>
      </c>
      <c r="J19" s="1"/>
      <c r="K19" s="1"/>
      <c r="L19" s="1"/>
    </row>
    <row r="20" spans="1:12" x14ac:dyDescent="0.25">
      <c r="A20" s="1" t="s">
        <v>175</v>
      </c>
      <c r="B20" s="1" t="s">
        <v>172</v>
      </c>
      <c r="C20" s="4">
        <v>45306</v>
      </c>
      <c r="D20" s="4">
        <v>45316</v>
      </c>
      <c r="E20" s="52">
        <f t="shared" si="0"/>
        <v>11</v>
      </c>
      <c r="F20" s="1">
        <v>55</v>
      </c>
      <c r="G20" s="1" t="s">
        <v>14</v>
      </c>
      <c r="H20" s="1" t="s">
        <v>173</v>
      </c>
      <c r="I20" s="1" t="s">
        <v>174</v>
      </c>
      <c r="J20" s="1"/>
      <c r="K20" s="1"/>
      <c r="L20" s="1"/>
    </row>
    <row r="21" spans="1:12" x14ac:dyDescent="0.25">
      <c r="A21" s="1" t="s">
        <v>129</v>
      </c>
      <c r="B21" s="1" t="s">
        <v>130</v>
      </c>
      <c r="C21" s="4">
        <v>45307</v>
      </c>
      <c r="D21" s="34">
        <v>45320</v>
      </c>
      <c r="E21" s="52">
        <f t="shared" si="0"/>
        <v>14</v>
      </c>
      <c r="F21" s="1">
        <v>56</v>
      </c>
      <c r="G21" s="1" t="s">
        <v>14</v>
      </c>
      <c r="H21" s="1" t="s">
        <v>131</v>
      </c>
      <c r="I21" s="1" t="s">
        <v>132</v>
      </c>
      <c r="J21" s="22"/>
      <c r="K21" s="1"/>
      <c r="L21" s="1"/>
    </row>
    <row r="22" spans="1:12" x14ac:dyDescent="0.25">
      <c r="A22" s="1" t="s">
        <v>133</v>
      </c>
      <c r="B22" s="1" t="s">
        <v>134</v>
      </c>
      <c r="C22" s="4">
        <v>45308</v>
      </c>
      <c r="D22" s="34">
        <v>45316</v>
      </c>
      <c r="E22" s="52">
        <f t="shared" si="0"/>
        <v>9</v>
      </c>
      <c r="F22" s="1">
        <v>21</v>
      </c>
      <c r="G22" s="1" t="s">
        <v>12</v>
      </c>
      <c r="H22" s="1" t="s">
        <v>135</v>
      </c>
      <c r="I22" s="1" t="s">
        <v>20</v>
      </c>
      <c r="J22" s="1"/>
      <c r="K22" s="1"/>
      <c r="L22" s="1"/>
    </row>
    <row r="23" spans="1:12" x14ac:dyDescent="0.25">
      <c r="A23" s="1" t="s">
        <v>208</v>
      </c>
      <c r="B23" s="1" t="s">
        <v>209</v>
      </c>
      <c r="C23" s="4">
        <v>45309</v>
      </c>
      <c r="D23" s="23">
        <v>45320</v>
      </c>
      <c r="E23" s="52">
        <f t="shared" si="0"/>
        <v>12</v>
      </c>
      <c r="F23" s="1">
        <v>43</v>
      </c>
      <c r="G23" s="1" t="s">
        <v>12</v>
      </c>
      <c r="H23" s="1" t="s">
        <v>210</v>
      </c>
      <c r="I23" s="1" t="s">
        <v>211</v>
      </c>
      <c r="J23" s="22" t="s">
        <v>13</v>
      </c>
      <c r="K23" s="1"/>
      <c r="L23" s="1"/>
    </row>
    <row r="24" spans="1:12" x14ac:dyDescent="0.25">
      <c r="A24" s="1" t="s">
        <v>149</v>
      </c>
      <c r="B24" s="1" t="s">
        <v>150</v>
      </c>
      <c r="C24" s="4">
        <v>45309</v>
      </c>
      <c r="D24" s="4">
        <v>45316</v>
      </c>
      <c r="E24" s="52">
        <f t="shared" si="0"/>
        <v>8</v>
      </c>
      <c r="F24" s="1">
        <v>65</v>
      </c>
      <c r="G24" s="1" t="s">
        <v>12</v>
      </c>
      <c r="H24" s="1" t="s">
        <v>151</v>
      </c>
      <c r="I24" s="1" t="s">
        <v>152</v>
      </c>
      <c r="J24" s="1"/>
      <c r="K24" s="1"/>
      <c r="L24" s="1"/>
    </row>
    <row r="25" spans="1:12" x14ac:dyDescent="0.25">
      <c r="A25" s="1" t="s">
        <v>146</v>
      </c>
      <c r="B25" s="1" t="s">
        <v>38</v>
      </c>
      <c r="C25" s="4">
        <v>45312</v>
      </c>
      <c r="D25" s="23">
        <v>45316</v>
      </c>
      <c r="E25" s="52">
        <f t="shared" si="0"/>
        <v>5</v>
      </c>
      <c r="F25" s="1">
        <v>26</v>
      </c>
      <c r="G25" s="1" t="s">
        <v>12</v>
      </c>
      <c r="H25" s="1" t="s">
        <v>147</v>
      </c>
      <c r="I25" s="1" t="s">
        <v>148</v>
      </c>
      <c r="J25" s="22" t="s">
        <v>13</v>
      </c>
      <c r="K25" s="1"/>
      <c r="L25" s="1"/>
    </row>
    <row r="26" spans="1:12" s="56" customFormat="1" x14ac:dyDescent="0.25">
      <c r="A26" s="53" t="s">
        <v>253</v>
      </c>
      <c r="B26" s="53" t="s">
        <v>254</v>
      </c>
      <c r="C26" s="54">
        <v>45313</v>
      </c>
      <c r="D26" s="54">
        <v>45334</v>
      </c>
      <c r="E26" s="55">
        <f t="shared" si="0"/>
        <v>22</v>
      </c>
      <c r="F26" s="53" t="s">
        <v>255</v>
      </c>
      <c r="G26" s="53" t="s">
        <v>12</v>
      </c>
      <c r="H26" s="53" t="s">
        <v>256</v>
      </c>
      <c r="I26" s="58" t="s">
        <v>145</v>
      </c>
      <c r="K26" s="53"/>
      <c r="L26" s="53"/>
    </row>
    <row r="27" spans="1:12" x14ac:dyDescent="0.25">
      <c r="A27" s="1" t="s">
        <v>251</v>
      </c>
      <c r="B27" s="1" t="s">
        <v>52</v>
      </c>
      <c r="C27" s="4">
        <v>45314</v>
      </c>
      <c r="D27" s="23">
        <v>45320</v>
      </c>
      <c r="E27" s="52">
        <f t="shared" si="0"/>
        <v>7</v>
      </c>
      <c r="F27" s="1">
        <v>29</v>
      </c>
      <c r="G27" s="1" t="s">
        <v>12</v>
      </c>
      <c r="H27" s="1" t="s">
        <v>252</v>
      </c>
      <c r="I27" s="1" t="s">
        <v>46</v>
      </c>
      <c r="J27" s="22" t="s">
        <v>13</v>
      </c>
      <c r="K27" s="1"/>
      <c r="L27" s="1"/>
    </row>
    <row r="28" spans="1:12" x14ac:dyDescent="0.25">
      <c r="A28" s="1" t="s">
        <v>248</v>
      </c>
      <c r="B28" s="1" t="s">
        <v>249</v>
      </c>
      <c r="C28" s="4">
        <v>45314</v>
      </c>
      <c r="D28" s="34">
        <v>45337</v>
      </c>
      <c r="E28" s="52">
        <f t="shared" si="0"/>
        <v>24</v>
      </c>
      <c r="F28" s="1">
        <v>34</v>
      </c>
      <c r="G28" s="1" t="s">
        <v>14</v>
      </c>
      <c r="H28" s="1" t="s">
        <v>250</v>
      </c>
      <c r="I28" s="1" t="s">
        <v>260</v>
      </c>
      <c r="J28" s="22"/>
      <c r="K28" s="1"/>
      <c r="L28" s="1"/>
    </row>
    <row r="29" spans="1:12" x14ac:dyDescent="0.25">
      <c r="A29" s="1" t="s">
        <v>179</v>
      </c>
      <c r="B29" s="1" t="s">
        <v>180</v>
      </c>
      <c r="C29" s="4">
        <v>45315</v>
      </c>
      <c r="D29" s="23">
        <v>45317</v>
      </c>
      <c r="E29" s="52">
        <f t="shared" si="0"/>
        <v>3</v>
      </c>
      <c r="F29" s="1">
        <v>26</v>
      </c>
      <c r="G29" s="1" t="s">
        <v>14</v>
      </c>
      <c r="H29" s="1" t="s">
        <v>181</v>
      </c>
      <c r="I29" s="1" t="s">
        <v>16</v>
      </c>
      <c r="J29" s="22" t="s">
        <v>13</v>
      </c>
      <c r="K29" s="1"/>
      <c r="L29" s="1"/>
    </row>
    <row r="30" spans="1:12" x14ac:dyDescent="0.25">
      <c r="A30" s="1" t="s">
        <v>136</v>
      </c>
      <c r="B30" s="1" t="s">
        <v>137</v>
      </c>
      <c r="C30" s="4">
        <v>45315</v>
      </c>
      <c r="D30" s="4">
        <v>45323</v>
      </c>
      <c r="E30" s="52">
        <f t="shared" si="0"/>
        <v>9</v>
      </c>
      <c r="F30" s="1">
        <v>39</v>
      </c>
      <c r="G30" s="1" t="s">
        <v>12</v>
      </c>
      <c r="H30" s="1" t="s">
        <v>138</v>
      </c>
      <c r="I30" s="1" t="s">
        <v>139</v>
      </c>
      <c r="J30" s="1"/>
      <c r="K30" s="1"/>
      <c r="L30" s="1"/>
    </row>
    <row r="31" spans="1:12" x14ac:dyDescent="0.25">
      <c r="A31" s="1" t="s">
        <v>245</v>
      </c>
      <c r="B31" s="1" t="s">
        <v>246</v>
      </c>
      <c r="C31" s="4">
        <v>45315</v>
      </c>
      <c r="D31" s="4">
        <v>45321</v>
      </c>
      <c r="E31" s="52">
        <f t="shared" si="0"/>
        <v>7</v>
      </c>
      <c r="F31" s="1">
        <v>63</v>
      </c>
      <c r="G31" s="1" t="s">
        <v>14</v>
      </c>
      <c r="H31" s="1" t="s">
        <v>247</v>
      </c>
      <c r="I31" s="1" t="s">
        <v>259</v>
      </c>
      <c r="J31" s="1"/>
      <c r="K31" s="1"/>
      <c r="L31" s="1"/>
    </row>
    <row r="32" spans="1:12" x14ac:dyDescent="0.25">
      <c r="A32" s="1" t="s">
        <v>196</v>
      </c>
      <c r="B32" s="1" t="s">
        <v>197</v>
      </c>
      <c r="C32" s="4">
        <v>45316</v>
      </c>
      <c r="D32" s="34">
        <v>45324</v>
      </c>
      <c r="E32" s="52">
        <f t="shared" si="0"/>
        <v>9</v>
      </c>
      <c r="F32" s="1">
        <v>24</v>
      </c>
      <c r="G32" s="1" t="s">
        <v>14</v>
      </c>
      <c r="H32" s="1" t="s">
        <v>198</v>
      </c>
      <c r="I32" s="1" t="s">
        <v>199</v>
      </c>
      <c r="J32" s="32" t="s">
        <v>28</v>
      </c>
      <c r="K32" s="1"/>
      <c r="L32" s="1"/>
    </row>
    <row r="33" spans="1:12" x14ac:dyDescent="0.25">
      <c r="A33" s="1" t="s">
        <v>126</v>
      </c>
      <c r="B33" s="1" t="s">
        <v>127</v>
      </c>
      <c r="C33" s="4">
        <v>45316</v>
      </c>
      <c r="D33" s="34">
        <v>45320</v>
      </c>
      <c r="E33" s="52">
        <f t="shared" si="0"/>
        <v>5</v>
      </c>
      <c r="F33" s="1">
        <v>43</v>
      </c>
      <c r="G33" s="1" t="s">
        <v>12</v>
      </c>
      <c r="H33" s="1" t="s">
        <v>128</v>
      </c>
      <c r="I33" s="27" t="s">
        <v>21</v>
      </c>
      <c r="J33" s="22"/>
      <c r="K33" s="1"/>
      <c r="L33" s="1"/>
    </row>
    <row r="34" spans="1:12" s="56" customFormat="1" x14ac:dyDescent="0.25">
      <c r="A34" s="53" t="s">
        <v>153</v>
      </c>
      <c r="B34" s="53" t="s">
        <v>154</v>
      </c>
      <c r="C34" s="54">
        <v>45306</v>
      </c>
      <c r="D34" s="59">
        <v>45307</v>
      </c>
      <c r="E34" s="55">
        <f t="shared" si="0"/>
        <v>2</v>
      </c>
      <c r="F34" s="53">
        <v>65</v>
      </c>
      <c r="G34" s="53" t="s">
        <v>12</v>
      </c>
      <c r="H34" s="53" t="s">
        <v>155</v>
      </c>
      <c r="I34" s="58" t="s">
        <v>145</v>
      </c>
      <c r="J34" s="57" t="s">
        <v>13</v>
      </c>
      <c r="K34" s="53"/>
      <c r="L34" s="53"/>
    </row>
    <row r="35" spans="1:12" s="65" customFormat="1" x14ac:dyDescent="0.25">
      <c r="A35" s="60" t="s">
        <v>163</v>
      </c>
      <c r="B35" s="60" t="s">
        <v>164</v>
      </c>
      <c r="C35" s="61">
        <v>45302</v>
      </c>
      <c r="D35" s="62">
        <v>45303</v>
      </c>
      <c r="E35" s="63">
        <f t="shared" si="0"/>
        <v>2</v>
      </c>
      <c r="F35" s="60">
        <v>65</v>
      </c>
      <c r="G35" s="60" t="s">
        <v>12</v>
      </c>
      <c r="H35" s="60" t="s">
        <v>165</v>
      </c>
      <c r="I35" s="60" t="s">
        <v>166</v>
      </c>
      <c r="J35" s="64" t="s">
        <v>167</v>
      </c>
      <c r="K35" s="60"/>
      <c r="L35" s="60"/>
    </row>
    <row r="36" spans="1:12" s="56" customFormat="1" x14ac:dyDescent="0.25">
      <c r="A36" s="53" t="s">
        <v>108</v>
      </c>
      <c r="B36" s="53" t="s">
        <v>109</v>
      </c>
      <c r="C36" s="54">
        <v>45303</v>
      </c>
      <c r="D36" s="54"/>
      <c r="E36" s="55">
        <f t="shared" si="0"/>
        <v>-45302</v>
      </c>
      <c r="F36" s="53">
        <v>42</v>
      </c>
      <c r="G36" s="53" t="s">
        <v>12</v>
      </c>
      <c r="H36" s="53" t="s">
        <v>243</v>
      </c>
      <c r="I36" s="58" t="s">
        <v>244</v>
      </c>
      <c r="J36" s="53"/>
      <c r="K36" s="53"/>
      <c r="L36" s="53"/>
    </row>
    <row r="37" spans="1:12" x14ac:dyDescent="0.25">
      <c r="A37" s="1" t="s">
        <v>176</v>
      </c>
      <c r="B37" s="1" t="s">
        <v>177</v>
      </c>
      <c r="C37" s="4">
        <v>45317</v>
      </c>
      <c r="D37" s="23">
        <v>45321</v>
      </c>
      <c r="E37" s="52">
        <f t="shared" si="0"/>
        <v>5</v>
      </c>
      <c r="F37" s="1">
        <v>56</v>
      </c>
      <c r="G37" s="1" t="s">
        <v>14</v>
      </c>
      <c r="H37" s="1" t="s">
        <v>178</v>
      </c>
      <c r="I37" s="1" t="s">
        <v>16</v>
      </c>
      <c r="J37" s="22" t="s">
        <v>13</v>
      </c>
      <c r="K37" s="1"/>
      <c r="L37" s="1"/>
    </row>
    <row r="38" spans="1:12" x14ac:dyDescent="0.25">
      <c r="A38" s="1" t="s">
        <v>212</v>
      </c>
      <c r="B38" s="1" t="s">
        <v>213</v>
      </c>
      <c r="C38" s="4">
        <v>45318</v>
      </c>
      <c r="D38" s="4">
        <v>45328</v>
      </c>
      <c r="E38" s="52">
        <f t="shared" si="0"/>
        <v>11</v>
      </c>
      <c r="F38" s="1">
        <v>30</v>
      </c>
      <c r="G38" s="1" t="s">
        <v>12</v>
      </c>
      <c r="H38" s="1" t="s">
        <v>214</v>
      </c>
      <c r="I38" s="1" t="s">
        <v>215</v>
      </c>
      <c r="J38" s="1"/>
      <c r="K38" s="1"/>
      <c r="L38" s="1"/>
    </row>
    <row r="39" spans="1:12" x14ac:dyDescent="0.25">
      <c r="A39" s="1" t="s">
        <v>186</v>
      </c>
      <c r="B39" s="1" t="s">
        <v>187</v>
      </c>
      <c r="C39" s="4">
        <v>45318</v>
      </c>
      <c r="D39" s="4">
        <v>45321</v>
      </c>
      <c r="E39" s="52">
        <f t="shared" si="0"/>
        <v>4</v>
      </c>
      <c r="F39" s="1">
        <v>28</v>
      </c>
      <c r="G39" s="1" t="s">
        <v>12</v>
      </c>
      <c r="H39" s="1" t="s">
        <v>188</v>
      </c>
      <c r="I39" s="1" t="s">
        <v>21</v>
      </c>
      <c r="J39" s="1"/>
      <c r="K39" s="1"/>
      <c r="L39" s="1"/>
    </row>
    <row r="40" spans="1:12" x14ac:dyDescent="0.25">
      <c r="A40" s="1" t="s">
        <v>231</v>
      </c>
      <c r="B40" s="4" t="s">
        <v>232</v>
      </c>
      <c r="C40" s="4">
        <v>45318</v>
      </c>
      <c r="D40" s="4">
        <v>45335</v>
      </c>
      <c r="E40" s="52">
        <f t="shared" si="0"/>
        <v>18</v>
      </c>
      <c r="F40" s="1">
        <v>56</v>
      </c>
      <c r="G40" s="1" t="s">
        <v>12</v>
      </c>
      <c r="H40" s="1" t="s">
        <v>233</v>
      </c>
      <c r="I40" s="1" t="s">
        <v>283</v>
      </c>
      <c r="J40" s="1"/>
      <c r="K40" s="1"/>
      <c r="L40" s="1"/>
    </row>
    <row r="41" spans="1:12" x14ac:dyDescent="0.25">
      <c r="A41" s="1" t="s">
        <v>234</v>
      </c>
      <c r="B41" s="1" t="s">
        <v>235</v>
      </c>
      <c r="C41" s="4">
        <v>45319</v>
      </c>
      <c r="D41" s="34">
        <v>45331</v>
      </c>
      <c r="E41" s="52">
        <f t="shared" si="0"/>
        <v>13</v>
      </c>
      <c r="F41" s="1">
        <v>54</v>
      </c>
      <c r="G41" s="1" t="s">
        <v>12</v>
      </c>
      <c r="H41" s="1" t="s">
        <v>236</v>
      </c>
      <c r="I41" s="1" t="s">
        <v>20</v>
      </c>
      <c r="J41" s="22"/>
      <c r="K41" s="1"/>
      <c r="L41" s="1"/>
    </row>
    <row r="42" spans="1:12" x14ac:dyDescent="0.25">
      <c r="A42" s="1" t="s">
        <v>182</v>
      </c>
      <c r="B42" s="1" t="s">
        <v>183</v>
      </c>
      <c r="C42" s="4">
        <v>45319</v>
      </c>
      <c r="D42" s="4">
        <v>45323</v>
      </c>
      <c r="E42" s="52">
        <f t="shared" si="0"/>
        <v>5</v>
      </c>
      <c r="F42" s="1">
        <v>22</v>
      </c>
      <c r="G42" s="1" t="s">
        <v>14</v>
      </c>
      <c r="H42" s="1" t="s">
        <v>184</v>
      </c>
      <c r="I42" s="1" t="s">
        <v>185</v>
      </c>
      <c r="J42" s="32" t="s">
        <v>45</v>
      </c>
      <c r="K42" s="1"/>
      <c r="L42" s="1"/>
    </row>
    <row r="43" spans="1:12" x14ac:dyDescent="0.25">
      <c r="A43" s="1" t="s">
        <v>228</v>
      </c>
      <c r="B43" s="1" t="s">
        <v>229</v>
      </c>
      <c r="C43" s="4">
        <v>45319</v>
      </c>
      <c r="D43" s="4">
        <v>45336</v>
      </c>
      <c r="E43" s="52">
        <f t="shared" si="0"/>
        <v>18</v>
      </c>
      <c r="F43" s="1">
        <v>66</v>
      </c>
      <c r="G43" s="1" t="s">
        <v>14</v>
      </c>
      <c r="H43" s="1" t="s">
        <v>230</v>
      </c>
      <c r="I43" s="1" t="s">
        <v>261</v>
      </c>
      <c r="J43" s="1"/>
      <c r="K43" s="1"/>
      <c r="L43" s="1"/>
    </row>
    <row r="44" spans="1:12" s="56" customFormat="1" x14ac:dyDescent="0.25">
      <c r="A44" s="53" t="s">
        <v>237</v>
      </c>
      <c r="B44" s="53" t="s">
        <v>238</v>
      </c>
      <c r="C44" s="54">
        <v>45320</v>
      </c>
      <c r="D44" s="54">
        <v>45336</v>
      </c>
      <c r="E44" s="55">
        <f t="shared" si="0"/>
        <v>17</v>
      </c>
      <c r="F44" s="53">
        <v>20</v>
      </c>
      <c r="G44" s="53" t="s">
        <v>14</v>
      </c>
      <c r="H44" s="53" t="s">
        <v>239</v>
      </c>
      <c r="I44" s="58" t="s">
        <v>145</v>
      </c>
      <c r="J44" s="53"/>
      <c r="K44" s="53"/>
      <c r="L44" s="53"/>
    </row>
    <row r="45" spans="1:12" x14ac:dyDescent="0.25">
      <c r="A45" s="1" t="s">
        <v>240</v>
      </c>
      <c r="B45" s="1" t="s">
        <v>241</v>
      </c>
      <c r="C45" s="4">
        <v>45321</v>
      </c>
      <c r="D45" s="4">
        <v>45329</v>
      </c>
      <c r="E45" s="52">
        <f t="shared" si="0"/>
        <v>9</v>
      </c>
      <c r="F45" s="1">
        <v>71</v>
      </c>
      <c r="G45" s="1" t="s">
        <v>14</v>
      </c>
      <c r="H45" s="1" t="s">
        <v>242</v>
      </c>
      <c r="I45" s="1" t="s">
        <v>337</v>
      </c>
      <c r="J45" s="1"/>
      <c r="K45" s="1"/>
      <c r="L45" s="1"/>
    </row>
    <row r="46" spans="1:12" x14ac:dyDescent="0.25">
      <c r="A46" s="1" t="s">
        <v>216</v>
      </c>
      <c r="B46" s="1" t="s">
        <v>217</v>
      </c>
      <c r="C46" s="4">
        <v>45321</v>
      </c>
      <c r="D46" s="4">
        <v>45328</v>
      </c>
      <c r="E46" s="52">
        <f t="shared" si="0"/>
        <v>8</v>
      </c>
      <c r="F46" s="1">
        <v>26</v>
      </c>
      <c r="G46" s="1" t="s">
        <v>12</v>
      </c>
      <c r="H46" s="1" t="s">
        <v>218</v>
      </c>
      <c r="I46" s="1" t="s">
        <v>219</v>
      </c>
      <c r="J46" s="1"/>
      <c r="K46" s="1"/>
      <c r="L46" s="1"/>
    </row>
    <row r="47" spans="1:12" s="11" customFormat="1" x14ac:dyDescent="0.25">
      <c r="A47" s="9" t="s">
        <v>223</v>
      </c>
      <c r="B47" s="9" t="s">
        <v>224</v>
      </c>
      <c r="C47" s="10">
        <v>45321</v>
      </c>
      <c r="D47" s="10">
        <v>45334</v>
      </c>
      <c r="E47" s="52">
        <f t="shared" si="0"/>
        <v>14</v>
      </c>
      <c r="F47" s="9">
        <v>70</v>
      </c>
      <c r="G47" s="9" t="s">
        <v>12</v>
      </c>
      <c r="H47" s="9" t="s">
        <v>225</v>
      </c>
      <c r="I47" s="9" t="s">
        <v>262</v>
      </c>
      <c r="J47" s="9"/>
      <c r="K47" s="9"/>
      <c r="L47" s="9"/>
    </row>
    <row r="48" spans="1:12" x14ac:dyDescent="0.25">
      <c r="A48" s="1" t="s">
        <v>226</v>
      </c>
      <c r="B48" s="1" t="s">
        <v>267</v>
      </c>
      <c r="C48" s="4">
        <v>45322</v>
      </c>
      <c r="D48" s="23">
        <v>45339</v>
      </c>
      <c r="E48" s="52">
        <f t="shared" si="0"/>
        <v>18</v>
      </c>
      <c r="F48" s="1">
        <v>50</v>
      </c>
      <c r="G48" s="1" t="s">
        <v>14</v>
      </c>
      <c r="H48" s="1" t="s">
        <v>227</v>
      </c>
      <c r="I48" s="1" t="s">
        <v>20</v>
      </c>
      <c r="J48" s="22" t="s">
        <v>13</v>
      </c>
      <c r="K48" s="1"/>
      <c r="L48" s="1"/>
    </row>
    <row r="49" spans="1:12" x14ac:dyDescent="0.25">
      <c r="A49" s="1" t="s">
        <v>204</v>
      </c>
      <c r="B49" s="1" t="s">
        <v>205</v>
      </c>
      <c r="C49" s="4">
        <v>45322</v>
      </c>
      <c r="D49" s="4">
        <v>45324</v>
      </c>
      <c r="E49" s="52">
        <f t="shared" si="0"/>
        <v>3</v>
      </c>
      <c r="F49" s="1">
        <v>40</v>
      </c>
      <c r="G49" s="1" t="s">
        <v>14</v>
      </c>
      <c r="H49" s="1" t="s">
        <v>206</v>
      </c>
      <c r="I49" s="1" t="s">
        <v>207</v>
      </c>
      <c r="J49" s="1"/>
      <c r="K49" s="1"/>
      <c r="L49" s="1"/>
    </row>
    <row r="50" spans="1:12" s="56" customFormat="1" x14ac:dyDescent="0.25">
      <c r="A50" s="53" t="s">
        <v>257</v>
      </c>
      <c r="B50" s="53" t="s">
        <v>23</v>
      </c>
      <c r="C50" s="54">
        <v>45316</v>
      </c>
      <c r="D50" s="54">
        <v>45335</v>
      </c>
      <c r="E50" s="55">
        <f t="shared" si="0"/>
        <v>20</v>
      </c>
      <c r="F50" s="53">
        <v>15</v>
      </c>
      <c r="G50" s="53" t="s">
        <v>12</v>
      </c>
      <c r="H50" s="53" t="s">
        <v>258</v>
      </c>
      <c r="I50" s="58" t="s">
        <v>145</v>
      </c>
      <c r="J50" s="58"/>
      <c r="K50" s="53"/>
      <c r="L50" s="53"/>
    </row>
    <row r="51" spans="1:12" x14ac:dyDescent="0.25">
      <c r="A51" s="1" t="s">
        <v>263</v>
      </c>
      <c r="B51" s="1" t="s">
        <v>264</v>
      </c>
      <c r="C51" s="4">
        <v>45304</v>
      </c>
      <c r="D51" s="34">
        <v>45342</v>
      </c>
      <c r="E51" s="52">
        <f t="shared" si="0"/>
        <v>39</v>
      </c>
      <c r="F51" s="1">
        <v>49</v>
      </c>
      <c r="G51" s="1" t="s">
        <v>14</v>
      </c>
      <c r="H51" s="1" t="s">
        <v>265</v>
      </c>
      <c r="I51" s="1" t="s">
        <v>266</v>
      </c>
      <c r="J51" s="22"/>
      <c r="K51" s="1"/>
      <c r="L51" s="1"/>
    </row>
    <row r="52" spans="1:12" s="37" customFormat="1" x14ac:dyDescent="0.25">
      <c r="A52" s="35"/>
      <c r="B52" s="35"/>
      <c r="C52" s="36"/>
      <c r="D52" s="36"/>
      <c r="E52" s="35"/>
      <c r="F52" s="35"/>
      <c r="G52" s="35"/>
      <c r="H52" s="35"/>
      <c r="I52" s="43"/>
      <c r="J52" s="35"/>
      <c r="K52" s="35"/>
      <c r="L52" s="35"/>
    </row>
    <row r="53" spans="1:12" x14ac:dyDescent="0.25">
      <c r="A53" s="1"/>
      <c r="B53" s="1"/>
      <c r="C53" s="4"/>
      <c r="D53" s="4"/>
      <c r="E53" s="52">
        <f t="shared" si="0"/>
        <v>1</v>
      </c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4"/>
      <c r="E54" s="52">
        <f t="shared" si="0"/>
        <v>1</v>
      </c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4"/>
      <c r="E55" s="52">
        <f t="shared" si="0"/>
        <v>1</v>
      </c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4"/>
      <c r="D56" s="4"/>
      <c r="E56" s="52">
        <f t="shared" si="0"/>
        <v>1</v>
      </c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4"/>
      <c r="D57" s="4"/>
      <c r="E57" s="52">
        <f t="shared" si="0"/>
        <v>1</v>
      </c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4"/>
      <c r="D58" s="4"/>
      <c r="E58" s="52">
        <f t="shared" si="0"/>
        <v>1</v>
      </c>
      <c r="F58" s="1"/>
      <c r="G58" s="1"/>
      <c r="H58" s="7"/>
      <c r="I58" s="1"/>
      <c r="J58" s="1"/>
      <c r="K58" s="1"/>
      <c r="L58" s="1"/>
    </row>
    <row r="59" spans="1:12" x14ac:dyDescent="0.25">
      <c r="A59" s="1"/>
      <c r="B59" s="1"/>
      <c r="C59" s="4"/>
      <c r="D59" s="4"/>
      <c r="E59" s="52">
        <f t="shared" si="0"/>
        <v>1</v>
      </c>
      <c r="F59" s="1"/>
      <c r="G59" s="1"/>
      <c r="H59" s="7"/>
      <c r="I59" s="1"/>
      <c r="J59" s="1"/>
      <c r="K59" s="1"/>
      <c r="L59" s="1"/>
    </row>
    <row r="60" spans="1:12" x14ac:dyDescent="0.25">
      <c r="A60" s="1"/>
      <c r="B60" s="1"/>
      <c r="C60" s="4"/>
      <c r="D60" s="4"/>
      <c r="E60" s="52">
        <f t="shared" si="0"/>
        <v>1</v>
      </c>
      <c r="F60" s="1"/>
      <c r="G60" s="1"/>
      <c r="H60" s="7"/>
      <c r="I60" s="1"/>
      <c r="J60" s="1"/>
      <c r="K60" s="1"/>
      <c r="L60" s="1"/>
    </row>
    <row r="61" spans="1:12" x14ac:dyDescent="0.25">
      <c r="A61" s="1"/>
      <c r="B61" s="1"/>
      <c r="C61" s="4"/>
      <c r="D61" s="4"/>
      <c r="E61" s="52">
        <f t="shared" si="0"/>
        <v>1</v>
      </c>
      <c r="F61" s="1"/>
      <c r="G61" s="1"/>
      <c r="H61" s="7"/>
      <c r="I61" s="1"/>
      <c r="J61" s="1"/>
      <c r="K61" s="1"/>
      <c r="L61" s="1"/>
    </row>
    <row r="62" spans="1:12" x14ac:dyDescent="0.25">
      <c r="A62" s="1"/>
      <c r="B62" s="1"/>
      <c r="C62" s="4"/>
      <c r="D62" s="4"/>
      <c r="E62" s="52">
        <f t="shared" si="0"/>
        <v>1</v>
      </c>
      <c r="F62" s="1"/>
      <c r="G62" s="1"/>
      <c r="H62" s="7"/>
      <c r="I62" s="1"/>
      <c r="J62" s="1"/>
      <c r="K62" s="1"/>
      <c r="L62" s="1"/>
    </row>
    <row r="63" spans="1:12" x14ac:dyDescent="0.25">
      <c r="A63" s="1"/>
      <c r="B63" s="1"/>
      <c r="C63" s="4"/>
      <c r="D63" s="4"/>
      <c r="E63" s="52">
        <f t="shared" si="0"/>
        <v>1</v>
      </c>
      <c r="F63" s="1"/>
      <c r="G63" s="1"/>
      <c r="H63" s="7"/>
      <c r="I63" s="1"/>
      <c r="J63" s="1"/>
      <c r="K63" s="1"/>
      <c r="L63" s="1"/>
    </row>
    <row r="64" spans="1:12" x14ac:dyDescent="0.25">
      <c r="A64" s="1"/>
      <c r="B64" s="1"/>
      <c r="C64" s="4"/>
      <c r="D64" s="4"/>
      <c r="E64" s="52">
        <f t="shared" si="0"/>
        <v>1</v>
      </c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4"/>
      <c r="D65" s="23"/>
      <c r="E65" s="52">
        <f t="shared" si="0"/>
        <v>1</v>
      </c>
      <c r="F65" s="1"/>
      <c r="G65" s="1"/>
      <c r="H65" s="1"/>
      <c r="I65" s="1"/>
      <c r="J65" s="22"/>
      <c r="K65" s="1"/>
      <c r="L65" s="1"/>
    </row>
    <row r="66" spans="1:12" x14ac:dyDescent="0.25">
      <c r="A66" s="1"/>
      <c r="B66" s="1"/>
      <c r="C66" s="4"/>
      <c r="D66" s="4"/>
      <c r="E66" s="52">
        <f t="shared" ref="E66:E121" si="3">D66-C66+1</f>
        <v>1</v>
      </c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4"/>
      <c r="D67" s="4"/>
      <c r="E67" s="52">
        <f t="shared" si="3"/>
        <v>1</v>
      </c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4"/>
      <c r="D68" s="4"/>
      <c r="E68" s="52">
        <f t="shared" si="3"/>
        <v>1</v>
      </c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8"/>
      <c r="D69" s="4"/>
      <c r="E69" s="52">
        <f t="shared" si="3"/>
        <v>1</v>
      </c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4"/>
      <c r="D70" s="4"/>
      <c r="E70" s="52">
        <f t="shared" si="3"/>
        <v>1</v>
      </c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4"/>
      <c r="D71" s="4"/>
      <c r="E71" s="52">
        <f t="shared" si="3"/>
        <v>1</v>
      </c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4"/>
      <c r="D72" s="4"/>
      <c r="E72" s="52">
        <f t="shared" si="3"/>
        <v>1</v>
      </c>
      <c r="F72" s="1"/>
      <c r="G72" s="1"/>
      <c r="H72" s="1"/>
      <c r="I72" s="1"/>
      <c r="J72" s="1"/>
      <c r="K72" s="1"/>
      <c r="L72" s="1"/>
    </row>
    <row r="73" spans="1:12" s="37" customFormat="1" x14ac:dyDescent="0.25">
      <c r="A73" s="35"/>
      <c r="B73" s="35"/>
      <c r="C73" s="36"/>
      <c r="D73" s="36"/>
      <c r="E73" s="52">
        <f t="shared" si="3"/>
        <v>1</v>
      </c>
      <c r="F73" s="35"/>
      <c r="G73" s="35"/>
      <c r="H73" s="35"/>
      <c r="I73" s="43"/>
      <c r="J73" s="35"/>
      <c r="K73" s="35"/>
      <c r="L73" s="35"/>
    </row>
    <row r="74" spans="1:12" s="37" customFormat="1" x14ac:dyDescent="0.25">
      <c r="A74" s="35"/>
      <c r="B74" s="35"/>
      <c r="C74" s="36"/>
      <c r="D74" s="47"/>
      <c r="E74" s="52">
        <f t="shared" si="3"/>
        <v>1</v>
      </c>
      <c r="F74" s="35"/>
      <c r="G74" s="35"/>
      <c r="H74" s="35"/>
      <c r="I74" s="43"/>
      <c r="J74" s="38"/>
      <c r="K74" s="35"/>
      <c r="L74" s="35"/>
    </row>
    <row r="75" spans="1:12" x14ac:dyDescent="0.25">
      <c r="A75" s="1"/>
      <c r="B75" s="1"/>
      <c r="C75" s="4"/>
      <c r="D75" s="4"/>
      <c r="E75" s="52">
        <f t="shared" si="3"/>
        <v>1</v>
      </c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4"/>
      <c r="D76" s="23"/>
      <c r="E76" s="52">
        <f t="shared" si="3"/>
        <v>1</v>
      </c>
      <c r="F76" s="1"/>
      <c r="G76" s="1"/>
      <c r="H76" s="1"/>
      <c r="I76" s="1"/>
      <c r="J76" s="22"/>
      <c r="K76" s="1"/>
      <c r="L76" s="1"/>
    </row>
    <row r="77" spans="1:12" x14ac:dyDescent="0.25">
      <c r="A77" s="1"/>
      <c r="B77" s="1"/>
      <c r="C77" s="4"/>
      <c r="D77" s="4"/>
      <c r="E77" s="52">
        <f t="shared" si="3"/>
        <v>1</v>
      </c>
      <c r="F77" s="1"/>
      <c r="G77" s="1"/>
      <c r="H77" s="1"/>
      <c r="I77" s="1"/>
      <c r="J77" s="32"/>
      <c r="K77" s="1"/>
      <c r="L77" s="1"/>
    </row>
    <row r="78" spans="1:12" s="42" customFormat="1" x14ac:dyDescent="0.25">
      <c r="A78" s="40"/>
      <c r="B78" s="40"/>
      <c r="C78" s="41"/>
      <c r="D78" s="41"/>
      <c r="E78" s="52">
        <f t="shared" si="3"/>
        <v>1</v>
      </c>
      <c r="F78" s="40"/>
      <c r="G78" s="40"/>
      <c r="H78" s="40"/>
      <c r="I78" s="40"/>
      <c r="J78" s="40"/>
      <c r="K78" s="40"/>
      <c r="L78" s="40"/>
    </row>
    <row r="79" spans="1:12" s="15" customFormat="1" x14ac:dyDescent="0.25">
      <c r="A79" s="13"/>
      <c r="B79" s="13"/>
      <c r="C79" s="14"/>
      <c r="D79" s="14"/>
      <c r="E79" s="52">
        <f t="shared" si="3"/>
        <v>1</v>
      </c>
      <c r="F79" s="13"/>
      <c r="G79" s="13"/>
      <c r="H79" s="13"/>
      <c r="I79" s="13"/>
      <c r="J79" s="13"/>
      <c r="K79" s="13"/>
      <c r="L79" s="13"/>
    </row>
    <row r="80" spans="1:12" x14ac:dyDescent="0.25">
      <c r="A80" s="1"/>
      <c r="B80" s="1"/>
      <c r="C80" s="4"/>
      <c r="D80" s="4"/>
      <c r="E80" s="52">
        <f t="shared" si="3"/>
        <v>1</v>
      </c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4"/>
      <c r="D81" s="4"/>
      <c r="E81" s="52">
        <f t="shared" si="3"/>
        <v>1</v>
      </c>
      <c r="F81" s="1"/>
      <c r="G81" s="1"/>
      <c r="H81" s="7"/>
      <c r="I81" s="1"/>
      <c r="J81" s="1"/>
      <c r="K81" s="1"/>
      <c r="L81" s="1"/>
    </row>
    <row r="82" spans="1:12" s="37" customFormat="1" x14ac:dyDescent="0.25">
      <c r="A82" s="35"/>
      <c r="B82" s="35"/>
      <c r="C82" s="36"/>
      <c r="D82" s="47"/>
      <c r="E82" s="52">
        <f t="shared" si="3"/>
        <v>1</v>
      </c>
      <c r="F82" s="35"/>
      <c r="G82" s="35"/>
      <c r="H82" s="35"/>
      <c r="I82" s="43"/>
      <c r="J82" s="38"/>
      <c r="K82" s="39"/>
      <c r="L82" s="35"/>
    </row>
    <row r="83" spans="1:12" x14ac:dyDescent="0.25">
      <c r="A83" s="1"/>
      <c r="B83" s="1"/>
      <c r="C83" s="1"/>
      <c r="D83" s="1"/>
      <c r="E83" s="52">
        <f t="shared" si="3"/>
        <v>1</v>
      </c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52">
        <f t="shared" si="3"/>
        <v>1</v>
      </c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52">
        <f t="shared" si="3"/>
        <v>1</v>
      </c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52">
        <f t="shared" si="3"/>
        <v>1</v>
      </c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52">
        <f t="shared" si="3"/>
        <v>1</v>
      </c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52">
        <f t="shared" si="3"/>
        <v>1</v>
      </c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4"/>
      <c r="E89" s="52">
        <f t="shared" si="3"/>
        <v>1</v>
      </c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52">
        <f t="shared" si="3"/>
        <v>1</v>
      </c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52">
        <f t="shared" si="3"/>
        <v>1</v>
      </c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4"/>
      <c r="E92" s="52">
        <f t="shared" si="3"/>
        <v>1</v>
      </c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52">
        <f t="shared" si="3"/>
        <v>1</v>
      </c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52">
        <f t="shared" si="3"/>
        <v>1</v>
      </c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52">
        <f t="shared" si="3"/>
        <v>1</v>
      </c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52">
        <f t="shared" si="3"/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/>
      <c r="E97" s="52">
        <f t="shared" si="3"/>
        <v>1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52">
        <f t="shared" si="3"/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52">
        <f t="shared" si="3"/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52">
        <f t="shared" si="3"/>
        <v>1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52">
        <f t="shared" si="3"/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52">
        <f t="shared" si="3"/>
        <v>1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52">
        <f t="shared" si="3"/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52">
        <f t="shared" si="3"/>
        <v>1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52">
        <f t="shared" si="3"/>
        <v>1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52">
        <f t="shared" si="3"/>
        <v>1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52">
        <f t="shared" si="3"/>
        <v>1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52">
        <f t="shared" si="3"/>
        <v>1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52">
        <f t="shared" si="3"/>
        <v>1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52">
        <f t="shared" si="3"/>
        <v>1</v>
      </c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52">
        <f t="shared" si="3"/>
        <v>1</v>
      </c>
      <c r="F111" s="1"/>
      <c r="G111" s="1"/>
      <c r="H111" s="1"/>
      <c r="I111" s="1"/>
      <c r="J111" s="1"/>
      <c r="K111" s="1"/>
      <c r="L111" s="1"/>
    </row>
    <row r="112" spans="1:12" x14ac:dyDescent="0.25">
      <c r="E112" s="52">
        <f t="shared" si="3"/>
        <v>1</v>
      </c>
    </row>
    <row r="113" spans="5:5" x14ac:dyDescent="0.25">
      <c r="E113" s="52">
        <f t="shared" si="3"/>
        <v>1</v>
      </c>
    </row>
    <row r="114" spans="5:5" x14ac:dyDescent="0.25">
      <c r="E114" s="52">
        <f t="shared" si="3"/>
        <v>1</v>
      </c>
    </row>
    <row r="115" spans="5:5" x14ac:dyDescent="0.25">
      <c r="E115" s="52">
        <f t="shared" si="3"/>
        <v>1</v>
      </c>
    </row>
    <row r="116" spans="5:5" x14ac:dyDescent="0.25">
      <c r="E116" s="52">
        <f t="shared" si="3"/>
        <v>1</v>
      </c>
    </row>
    <row r="117" spans="5:5" x14ac:dyDescent="0.25">
      <c r="E117" s="52">
        <f t="shared" si="3"/>
        <v>1</v>
      </c>
    </row>
    <row r="118" spans="5:5" x14ac:dyDescent="0.25">
      <c r="E118" s="52">
        <f t="shared" si="3"/>
        <v>1</v>
      </c>
    </row>
    <row r="119" spans="5:5" x14ac:dyDescent="0.25">
      <c r="E119" s="52">
        <f t="shared" si="3"/>
        <v>1</v>
      </c>
    </row>
    <row r="120" spans="5:5" x14ac:dyDescent="0.25">
      <c r="E120" s="52">
        <f t="shared" si="3"/>
        <v>1</v>
      </c>
    </row>
    <row r="121" spans="5:5" x14ac:dyDescent="0.25">
      <c r="E121" s="52">
        <f t="shared" si="3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topLeftCell="A19" workbookViewId="0">
      <selection activeCell="I37" sqref="I37"/>
    </sheetView>
  </sheetViews>
  <sheetFormatPr baseColWidth="10" defaultRowHeight="15" x14ac:dyDescent="0.25"/>
  <cols>
    <col min="1" max="1" width="15" customWidth="1"/>
    <col min="2" max="2" width="24.85546875" customWidth="1"/>
    <col min="3" max="3" width="14.42578125" customWidth="1"/>
    <col min="4" max="4" width="13.5703125" customWidth="1"/>
    <col min="5" max="5" width="14.42578125" customWidth="1"/>
    <col min="8" max="8" width="31.5703125" customWidth="1"/>
    <col min="9" max="9" width="25.85546875" customWidth="1"/>
    <col min="10" max="10" width="14.140625" customWidth="1"/>
  </cols>
  <sheetData>
    <row r="1" spans="1:14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4" x14ac:dyDescent="0.25">
      <c r="A2" s="40" t="s">
        <v>277</v>
      </c>
      <c r="B2" s="40" t="s">
        <v>24</v>
      </c>
      <c r="C2" s="41">
        <v>45323</v>
      </c>
      <c r="D2" s="41">
        <v>45331</v>
      </c>
      <c r="E2" s="52">
        <f t="shared" ref="E2:E65" si="0">D2-C2+1</f>
        <v>9</v>
      </c>
      <c r="F2" s="40">
        <v>55</v>
      </c>
      <c r="G2" s="40" t="s">
        <v>12</v>
      </c>
      <c r="H2" s="40" t="s">
        <v>278</v>
      </c>
      <c r="I2" s="40" t="s">
        <v>279</v>
      </c>
      <c r="J2" s="66"/>
      <c r="K2" s="40"/>
      <c r="L2" s="40"/>
      <c r="M2" s="42"/>
      <c r="N2" s="42"/>
    </row>
    <row r="3" spans="1:14" x14ac:dyDescent="0.25">
      <c r="A3" s="40" t="s">
        <v>268</v>
      </c>
      <c r="B3" s="40" t="s">
        <v>274</v>
      </c>
      <c r="C3" s="41">
        <v>45324</v>
      </c>
      <c r="D3" s="74">
        <v>45334</v>
      </c>
      <c r="E3" s="52">
        <f t="shared" si="0"/>
        <v>11</v>
      </c>
      <c r="F3" s="40">
        <v>44</v>
      </c>
      <c r="G3" s="40" t="s">
        <v>12</v>
      </c>
      <c r="H3" s="40" t="s">
        <v>275</v>
      </c>
      <c r="I3" s="40" t="s">
        <v>276</v>
      </c>
      <c r="J3" s="67"/>
      <c r="K3" s="40"/>
      <c r="L3" s="40"/>
      <c r="M3" s="42"/>
      <c r="N3" s="42"/>
    </row>
    <row r="4" spans="1:14" x14ac:dyDescent="0.25">
      <c r="A4" s="40" t="s">
        <v>269</v>
      </c>
      <c r="B4" s="40" t="s">
        <v>289</v>
      </c>
      <c r="C4" s="41">
        <v>45325</v>
      </c>
      <c r="D4" s="48">
        <v>45327</v>
      </c>
      <c r="E4" s="52">
        <f t="shared" si="0"/>
        <v>3</v>
      </c>
      <c r="F4" s="40">
        <v>29</v>
      </c>
      <c r="G4" s="40" t="s">
        <v>12</v>
      </c>
      <c r="H4" s="40" t="s">
        <v>290</v>
      </c>
      <c r="I4" s="40" t="s">
        <v>291</v>
      </c>
      <c r="J4" s="67" t="s">
        <v>13</v>
      </c>
      <c r="K4" s="40"/>
      <c r="L4" s="40"/>
      <c r="M4" s="42"/>
      <c r="N4" s="42"/>
    </row>
    <row r="5" spans="1:14" x14ac:dyDescent="0.25">
      <c r="A5" s="40" t="s">
        <v>270</v>
      </c>
      <c r="B5" s="40" t="s">
        <v>287</v>
      </c>
      <c r="C5" s="41">
        <v>45325</v>
      </c>
      <c r="D5" s="48">
        <v>45326</v>
      </c>
      <c r="E5" s="52">
        <f t="shared" si="0"/>
        <v>2</v>
      </c>
      <c r="F5" s="40">
        <v>40</v>
      </c>
      <c r="G5" s="40" t="s">
        <v>14</v>
      </c>
      <c r="H5" s="40" t="s">
        <v>288</v>
      </c>
      <c r="I5" s="40" t="s">
        <v>15</v>
      </c>
      <c r="J5" s="67" t="s">
        <v>13</v>
      </c>
      <c r="K5" s="40"/>
      <c r="L5" s="40"/>
      <c r="M5" s="42"/>
      <c r="N5" s="42"/>
    </row>
    <row r="6" spans="1:14" x14ac:dyDescent="0.25">
      <c r="A6" s="40" t="s">
        <v>271</v>
      </c>
      <c r="B6" s="40" t="s">
        <v>272</v>
      </c>
      <c r="C6" s="4">
        <v>45326</v>
      </c>
      <c r="D6" s="41">
        <v>45341</v>
      </c>
      <c r="E6" s="52">
        <f t="shared" si="0"/>
        <v>16</v>
      </c>
      <c r="F6" s="40">
        <v>84</v>
      </c>
      <c r="G6" s="40" t="s">
        <v>12</v>
      </c>
      <c r="H6" s="40" t="s">
        <v>273</v>
      </c>
      <c r="I6" s="40" t="s">
        <v>203</v>
      </c>
      <c r="J6" s="40"/>
      <c r="K6" s="40"/>
      <c r="L6" s="40"/>
      <c r="M6" s="42"/>
      <c r="N6" s="42"/>
    </row>
    <row r="7" spans="1:14" x14ac:dyDescent="0.25">
      <c r="A7" s="40" t="s">
        <v>358</v>
      </c>
      <c r="B7" s="40" t="s">
        <v>359</v>
      </c>
      <c r="C7" s="41">
        <v>45327</v>
      </c>
      <c r="D7" s="41">
        <v>45348</v>
      </c>
      <c r="E7" s="52">
        <f t="shared" si="0"/>
        <v>22</v>
      </c>
      <c r="F7" s="40">
        <v>24</v>
      </c>
      <c r="G7" s="40" t="s">
        <v>14</v>
      </c>
      <c r="H7" s="68" t="s">
        <v>360</v>
      </c>
      <c r="I7" s="40" t="s">
        <v>418</v>
      </c>
      <c r="J7" s="40"/>
      <c r="K7" s="40"/>
      <c r="L7" s="40"/>
      <c r="M7" s="42"/>
      <c r="N7" s="42"/>
    </row>
    <row r="8" spans="1:14" x14ac:dyDescent="0.25">
      <c r="A8" s="40" t="s">
        <v>352</v>
      </c>
      <c r="B8" s="40" t="s">
        <v>353</v>
      </c>
      <c r="C8" s="41">
        <v>45328</v>
      </c>
      <c r="D8" s="41">
        <v>45355</v>
      </c>
      <c r="E8" s="52">
        <f t="shared" si="0"/>
        <v>28</v>
      </c>
      <c r="F8" s="40">
        <v>24</v>
      </c>
      <c r="G8" s="40" t="s">
        <v>14</v>
      </c>
      <c r="H8" s="40" t="s">
        <v>354</v>
      </c>
      <c r="I8" s="40" t="s">
        <v>16</v>
      </c>
      <c r="J8" s="40"/>
      <c r="K8" s="40"/>
      <c r="L8" s="40"/>
      <c r="M8" s="42"/>
      <c r="N8" s="42"/>
    </row>
    <row r="9" spans="1:14" s="56" customFormat="1" x14ac:dyDescent="0.25">
      <c r="A9" s="53" t="s">
        <v>284</v>
      </c>
      <c r="B9" s="53" t="s">
        <v>285</v>
      </c>
      <c r="C9" s="54">
        <v>45330</v>
      </c>
      <c r="D9" s="54">
        <v>45341</v>
      </c>
      <c r="E9" s="55">
        <f t="shared" si="0"/>
        <v>12</v>
      </c>
      <c r="F9" s="53">
        <v>17</v>
      </c>
      <c r="G9" s="53" t="s">
        <v>12</v>
      </c>
      <c r="H9" s="53" t="s">
        <v>286</v>
      </c>
      <c r="I9" s="58" t="s">
        <v>145</v>
      </c>
      <c r="J9" s="53"/>
      <c r="K9" s="53"/>
      <c r="L9" s="53"/>
    </row>
    <row r="10" spans="1:14" s="56" customFormat="1" x14ac:dyDescent="0.25">
      <c r="A10" s="53" t="s">
        <v>349</v>
      </c>
      <c r="B10" s="53" t="s">
        <v>350</v>
      </c>
      <c r="C10" s="54">
        <v>45330</v>
      </c>
      <c r="D10" s="54">
        <v>45352</v>
      </c>
      <c r="E10" s="55">
        <f t="shared" si="0"/>
        <v>23</v>
      </c>
      <c r="F10" s="53">
        <v>15</v>
      </c>
      <c r="G10" s="53" t="s">
        <v>12</v>
      </c>
      <c r="H10" s="53" t="s">
        <v>351</v>
      </c>
      <c r="I10" s="58" t="s">
        <v>145</v>
      </c>
      <c r="J10" s="53"/>
      <c r="K10" s="53"/>
      <c r="L10" s="53"/>
    </row>
    <row r="11" spans="1:14" x14ac:dyDescent="0.25">
      <c r="A11" s="40" t="s">
        <v>342</v>
      </c>
      <c r="B11" s="40" t="s">
        <v>343</v>
      </c>
      <c r="C11" s="41">
        <v>45330</v>
      </c>
      <c r="D11" s="41">
        <v>45355</v>
      </c>
      <c r="E11" s="52">
        <f t="shared" si="0"/>
        <v>26</v>
      </c>
      <c r="F11" s="40">
        <v>36</v>
      </c>
      <c r="G11" s="40" t="s">
        <v>12</v>
      </c>
      <c r="H11" s="40" t="s">
        <v>344</v>
      </c>
      <c r="I11" s="40" t="s">
        <v>16</v>
      </c>
      <c r="J11" s="40"/>
      <c r="K11" s="40"/>
      <c r="L11" s="40"/>
      <c r="M11" s="42"/>
      <c r="N11" s="42"/>
    </row>
    <row r="12" spans="1:14" x14ac:dyDescent="0.25">
      <c r="A12" s="40" t="s">
        <v>309</v>
      </c>
      <c r="B12" s="40" t="s">
        <v>310</v>
      </c>
      <c r="C12" s="41">
        <v>45331</v>
      </c>
      <c r="D12" s="48">
        <v>45348</v>
      </c>
      <c r="E12" s="52">
        <f t="shared" si="0"/>
        <v>18</v>
      </c>
      <c r="F12" s="40">
        <v>78</v>
      </c>
      <c r="G12" s="40" t="s">
        <v>12</v>
      </c>
      <c r="H12" s="40" t="s">
        <v>311</v>
      </c>
      <c r="I12" s="40" t="s">
        <v>312</v>
      </c>
      <c r="J12" s="67" t="s">
        <v>13</v>
      </c>
      <c r="K12" s="40"/>
      <c r="L12" s="40"/>
      <c r="M12" s="42"/>
      <c r="N12" s="42"/>
    </row>
    <row r="13" spans="1:14" s="16" customFormat="1" x14ac:dyDescent="0.25">
      <c r="A13" s="40" t="s">
        <v>345</v>
      </c>
      <c r="B13" s="40" t="s">
        <v>346</v>
      </c>
      <c r="C13" s="41">
        <v>45332</v>
      </c>
      <c r="D13" s="41">
        <v>45352</v>
      </c>
      <c r="E13" s="52">
        <f t="shared" si="0"/>
        <v>21</v>
      </c>
      <c r="F13" s="40">
        <v>58</v>
      </c>
      <c r="G13" s="40" t="s">
        <v>12</v>
      </c>
      <c r="H13" s="40" t="s">
        <v>347</v>
      </c>
      <c r="I13" s="40" t="s">
        <v>348</v>
      </c>
      <c r="J13" s="69"/>
      <c r="K13" s="69"/>
      <c r="L13" s="69"/>
      <c r="M13" s="70"/>
      <c r="N13" s="70"/>
    </row>
    <row r="14" spans="1:14" s="19" customFormat="1" x14ac:dyDescent="0.25">
      <c r="A14" s="40" t="s">
        <v>306</v>
      </c>
      <c r="B14" s="40" t="s">
        <v>307</v>
      </c>
      <c r="C14" s="41">
        <v>45333</v>
      </c>
      <c r="D14" s="41">
        <v>45349</v>
      </c>
      <c r="E14" s="52">
        <f t="shared" si="0"/>
        <v>17</v>
      </c>
      <c r="F14" s="40">
        <v>42</v>
      </c>
      <c r="G14" s="40" t="s">
        <v>12</v>
      </c>
      <c r="H14" s="40" t="s">
        <v>308</v>
      </c>
      <c r="I14" s="75" t="s">
        <v>21</v>
      </c>
      <c r="J14" s="40"/>
      <c r="K14" s="40"/>
      <c r="L14" s="40"/>
      <c r="M14" s="42"/>
      <c r="N14" s="42"/>
    </row>
    <row r="15" spans="1:14" x14ac:dyDescent="0.25">
      <c r="A15" s="40" t="s">
        <v>280</v>
      </c>
      <c r="B15" s="40" t="s">
        <v>281</v>
      </c>
      <c r="C15" s="41">
        <v>45334</v>
      </c>
      <c r="D15" s="48">
        <v>45335</v>
      </c>
      <c r="E15" s="52">
        <f t="shared" si="0"/>
        <v>2</v>
      </c>
      <c r="F15" s="40">
        <v>53</v>
      </c>
      <c r="G15" s="40" t="s">
        <v>14</v>
      </c>
      <c r="H15" s="40" t="s">
        <v>282</v>
      </c>
      <c r="I15" s="40" t="s">
        <v>46</v>
      </c>
      <c r="J15" s="67" t="s">
        <v>13</v>
      </c>
      <c r="K15" s="40"/>
      <c r="L15" s="40"/>
      <c r="M15" s="42"/>
      <c r="N15" s="42"/>
    </row>
    <row r="16" spans="1:14" x14ac:dyDescent="0.25">
      <c r="A16" s="40" t="s">
        <v>321</v>
      </c>
      <c r="B16" s="40" t="s">
        <v>322</v>
      </c>
      <c r="C16" s="41">
        <v>45336</v>
      </c>
      <c r="D16" s="48">
        <v>45344</v>
      </c>
      <c r="E16" s="52">
        <f t="shared" si="0"/>
        <v>9</v>
      </c>
      <c r="F16" s="40">
        <v>33</v>
      </c>
      <c r="G16" s="40" t="s">
        <v>12</v>
      </c>
      <c r="H16" s="40" t="s">
        <v>323</v>
      </c>
      <c r="I16" s="40" t="s">
        <v>324</v>
      </c>
      <c r="J16" s="67" t="s">
        <v>13</v>
      </c>
      <c r="K16" s="40"/>
      <c r="L16" s="40"/>
      <c r="M16" s="42"/>
      <c r="N16" s="42"/>
    </row>
    <row r="17" spans="1:14" x14ac:dyDescent="0.25">
      <c r="A17" s="40" t="s">
        <v>317</v>
      </c>
      <c r="B17" s="40" t="s">
        <v>53</v>
      </c>
      <c r="C17" s="41">
        <v>45337</v>
      </c>
      <c r="D17" s="74">
        <v>45344</v>
      </c>
      <c r="E17" s="52">
        <f t="shared" si="0"/>
        <v>8</v>
      </c>
      <c r="F17" s="40">
        <v>34</v>
      </c>
      <c r="G17" s="40" t="s">
        <v>12</v>
      </c>
      <c r="H17" s="40" t="s">
        <v>318</v>
      </c>
      <c r="I17" s="40" t="s">
        <v>319</v>
      </c>
      <c r="J17" s="71" t="s">
        <v>320</v>
      </c>
      <c r="K17" s="40"/>
      <c r="L17" s="40"/>
      <c r="M17" s="42"/>
      <c r="N17" s="42"/>
    </row>
    <row r="18" spans="1:14" x14ac:dyDescent="0.25">
      <c r="A18" s="40" t="s">
        <v>292</v>
      </c>
      <c r="B18" s="40" t="s">
        <v>29</v>
      </c>
      <c r="C18" s="41">
        <v>45338</v>
      </c>
      <c r="D18" s="41">
        <v>45345</v>
      </c>
      <c r="E18" s="52">
        <f t="shared" si="0"/>
        <v>8</v>
      </c>
      <c r="F18" s="40">
        <v>73</v>
      </c>
      <c r="G18" s="40" t="s">
        <v>14</v>
      </c>
      <c r="H18" s="40" t="s">
        <v>293</v>
      </c>
      <c r="I18" s="40" t="s">
        <v>294</v>
      </c>
      <c r="J18" s="40"/>
      <c r="K18" s="40"/>
      <c r="L18" s="40"/>
      <c r="M18" s="42"/>
      <c r="N18" s="42"/>
    </row>
    <row r="19" spans="1:14" x14ac:dyDescent="0.25">
      <c r="A19" s="40" t="s">
        <v>333</v>
      </c>
      <c r="B19" s="40" t="s">
        <v>334</v>
      </c>
      <c r="C19" s="41">
        <v>45339</v>
      </c>
      <c r="D19" s="48">
        <v>45340</v>
      </c>
      <c r="E19" s="52">
        <f t="shared" si="0"/>
        <v>2</v>
      </c>
      <c r="F19" s="40">
        <v>50</v>
      </c>
      <c r="G19" s="40" t="s">
        <v>12</v>
      </c>
      <c r="H19" s="40" t="s">
        <v>335</v>
      </c>
      <c r="I19" s="40" t="s">
        <v>336</v>
      </c>
      <c r="J19" s="67" t="s">
        <v>13</v>
      </c>
      <c r="K19" s="40"/>
      <c r="L19" s="40"/>
      <c r="M19" s="42"/>
      <c r="N19" s="42"/>
    </row>
    <row r="20" spans="1:14" x14ac:dyDescent="0.25">
      <c r="A20" s="40" t="s">
        <v>313</v>
      </c>
      <c r="B20" s="40" t="s">
        <v>314</v>
      </c>
      <c r="C20" s="41">
        <v>45341</v>
      </c>
      <c r="D20" s="74">
        <v>45349</v>
      </c>
      <c r="E20" s="52">
        <f t="shared" si="0"/>
        <v>9</v>
      </c>
      <c r="F20" s="40">
        <v>52</v>
      </c>
      <c r="G20" s="40" t="s">
        <v>14</v>
      </c>
      <c r="H20" s="40" t="s">
        <v>315</v>
      </c>
      <c r="I20" s="40" t="s">
        <v>316</v>
      </c>
      <c r="J20" s="67"/>
      <c r="K20" s="40"/>
      <c r="L20" s="40"/>
      <c r="M20" s="42"/>
      <c r="N20" s="42"/>
    </row>
    <row r="21" spans="1:14" x14ac:dyDescent="0.25">
      <c r="A21" s="40" t="s">
        <v>299</v>
      </c>
      <c r="B21" s="40" t="s">
        <v>241</v>
      </c>
      <c r="C21" s="41">
        <v>45341</v>
      </c>
      <c r="D21" s="48">
        <v>45353</v>
      </c>
      <c r="E21" s="52">
        <f t="shared" si="0"/>
        <v>13</v>
      </c>
      <c r="F21" s="40">
        <v>71</v>
      </c>
      <c r="G21" s="40" t="s">
        <v>14</v>
      </c>
      <c r="H21" s="40" t="s">
        <v>300</v>
      </c>
      <c r="I21" s="40" t="s">
        <v>301</v>
      </c>
      <c r="J21" s="67" t="s">
        <v>13</v>
      </c>
      <c r="K21" s="40"/>
      <c r="L21" s="40"/>
      <c r="M21" s="42"/>
      <c r="N21" s="42"/>
    </row>
    <row r="22" spans="1:14" s="56" customFormat="1" x14ac:dyDescent="0.25">
      <c r="A22" s="53" t="s">
        <v>361</v>
      </c>
      <c r="B22" s="53" t="s">
        <v>362</v>
      </c>
      <c r="C22" s="54">
        <v>45341</v>
      </c>
      <c r="D22" s="54">
        <v>45357</v>
      </c>
      <c r="E22" s="55">
        <f t="shared" si="0"/>
        <v>17</v>
      </c>
      <c r="F22" s="53" t="s">
        <v>18</v>
      </c>
      <c r="G22" s="53" t="s">
        <v>14</v>
      </c>
      <c r="H22" s="53" t="s">
        <v>363</v>
      </c>
      <c r="I22" s="58" t="s">
        <v>145</v>
      </c>
      <c r="J22" s="53"/>
      <c r="K22" s="53"/>
      <c r="L22" s="53"/>
    </row>
    <row r="23" spans="1:14" x14ac:dyDescent="0.25">
      <c r="A23" s="40" t="s">
        <v>364</v>
      </c>
      <c r="B23" s="40" t="s">
        <v>365</v>
      </c>
      <c r="C23" s="41">
        <v>45342</v>
      </c>
      <c r="D23" s="41"/>
      <c r="E23" s="52">
        <f t="shared" si="0"/>
        <v>-45341</v>
      </c>
      <c r="F23" s="40">
        <v>88</v>
      </c>
      <c r="G23" s="40" t="s">
        <v>14</v>
      </c>
      <c r="H23" s="40" t="s">
        <v>366</v>
      </c>
      <c r="I23" s="40" t="s">
        <v>367</v>
      </c>
      <c r="J23" s="40"/>
      <c r="K23" s="40"/>
      <c r="L23" s="40"/>
      <c r="M23" s="42"/>
      <c r="N23" s="42"/>
    </row>
    <row r="24" spans="1:14" s="19" customFormat="1" x14ac:dyDescent="0.25">
      <c r="A24" s="40" t="s">
        <v>368</v>
      </c>
      <c r="B24" s="40" t="s">
        <v>369</v>
      </c>
      <c r="C24" s="41">
        <v>45342</v>
      </c>
      <c r="D24" s="41">
        <v>45356</v>
      </c>
      <c r="E24" s="52">
        <f t="shared" si="0"/>
        <v>15</v>
      </c>
      <c r="F24" s="40">
        <v>23</v>
      </c>
      <c r="G24" s="40" t="s">
        <v>12</v>
      </c>
      <c r="H24" s="40" t="s">
        <v>370</v>
      </c>
      <c r="I24" s="75" t="s">
        <v>16</v>
      </c>
      <c r="J24" s="40"/>
      <c r="K24" s="40"/>
      <c r="L24" s="40"/>
      <c r="M24" s="42"/>
      <c r="N24" s="42"/>
    </row>
    <row r="25" spans="1:14" x14ac:dyDescent="0.25">
      <c r="A25" s="40" t="s">
        <v>295</v>
      </c>
      <c r="B25" s="40" t="s">
        <v>296</v>
      </c>
      <c r="C25" s="41">
        <v>45342</v>
      </c>
      <c r="D25" s="41">
        <v>45349</v>
      </c>
      <c r="E25" s="52">
        <f t="shared" si="0"/>
        <v>8</v>
      </c>
      <c r="F25" s="40">
        <v>21</v>
      </c>
      <c r="G25" s="40" t="s">
        <v>14</v>
      </c>
      <c r="H25" s="40" t="s">
        <v>297</v>
      </c>
      <c r="I25" s="40" t="s">
        <v>298</v>
      </c>
      <c r="J25" s="40"/>
      <c r="K25" s="40"/>
      <c r="L25" s="40"/>
      <c r="M25" s="42"/>
      <c r="N25" s="42"/>
    </row>
    <row r="26" spans="1:14" x14ac:dyDescent="0.25">
      <c r="A26" s="40" t="s">
        <v>302</v>
      </c>
      <c r="B26" s="40" t="s">
        <v>303</v>
      </c>
      <c r="C26" s="41">
        <v>45343</v>
      </c>
      <c r="D26" s="74">
        <v>45347</v>
      </c>
      <c r="E26" s="52">
        <f t="shared" si="0"/>
        <v>5</v>
      </c>
      <c r="F26" s="40">
        <v>49</v>
      </c>
      <c r="G26" s="40" t="s">
        <v>12</v>
      </c>
      <c r="H26" s="40" t="s">
        <v>304</v>
      </c>
      <c r="I26" s="40" t="s">
        <v>305</v>
      </c>
      <c r="J26" s="67"/>
      <c r="K26" s="40"/>
      <c r="L26" s="40"/>
      <c r="M26" s="42"/>
      <c r="N26" s="42"/>
    </row>
    <row r="27" spans="1:14" s="65" customFormat="1" x14ac:dyDescent="0.25">
      <c r="A27" s="60" t="s">
        <v>371</v>
      </c>
      <c r="B27" s="60" t="s">
        <v>388</v>
      </c>
      <c r="C27" s="61">
        <v>45344</v>
      </c>
      <c r="D27" s="61">
        <v>45363</v>
      </c>
      <c r="E27" s="63">
        <f t="shared" si="0"/>
        <v>20</v>
      </c>
      <c r="F27" s="60">
        <v>60</v>
      </c>
      <c r="G27" s="60" t="s">
        <v>12</v>
      </c>
      <c r="H27" s="60" t="s">
        <v>372</v>
      </c>
      <c r="I27" s="60" t="s">
        <v>390</v>
      </c>
      <c r="J27" s="60"/>
      <c r="K27" s="60"/>
      <c r="L27" s="60"/>
    </row>
    <row r="28" spans="1:14" s="56" customFormat="1" x14ac:dyDescent="0.25">
      <c r="A28" s="53" t="s">
        <v>373</v>
      </c>
      <c r="B28" s="53" t="s">
        <v>374</v>
      </c>
      <c r="C28" s="54">
        <v>45345</v>
      </c>
      <c r="D28" s="78">
        <v>45358</v>
      </c>
      <c r="E28" s="55">
        <f t="shared" si="0"/>
        <v>14</v>
      </c>
      <c r="F28" s="53">
        <v>50</v>
      </c>
      <c r="G28" s="53" t="s">
        <v>12</v>
      </c>
      <c r="H28" s="53" t="s">
        <v>375</v>
      </c>
      <c r="I28" s="58" t="s">
        <v>145</v>
      </c>
      <c r="J28" s="57"/>
      <c r="K28" s="53"/>
      <c r="L28" s="53"/>
    </row>
    <row r="29" spans="1:14" x14ac:dyDescent="0.25">
      <c r="A29" s="40" t="s">
        <v>329</v>
      </c>
      <c r="B29" s="40" t="s">
        <v>330</v>
      </c>
      <c r="C29" s="41">
        <v>45345</v>
      </c>
      <c r="D29" s="74">
        <v>45348</v>
      </c>
      <c r="E29" s="52">
        <f t="shared" si="0"/>
        <v>4</v>
      </c>
      <c r="F29" s="40">
        <v>17</v>
      </c>
      <c r="G29" s="40" t="s">
        <v>14</v>
      </c>
      <c r="H29" s="40" t="s">
        <v>331</v>
      </c>
      <c r="I29" s="40" t="s">
        <v>332</v>
      </c>
      <c r="J29" s="71" t="s">
        <v>389</v>
      </c>
      <c r="K29" s="40"/>
      <c r="L29" s="40"/>
      <c r="M29" s="42"/>
      <c r="N29" s="42"/>
    </row>
    <row r="30" spans="1:14" x14ac:dyDescent="0.25">
      <c r="A30" s="40" t="s">
        <v>325</v>
      </c>
      <c r="B30" s="40" t="s">
        <v>326</v>
      </c>
      <c r="C30" s="41">
        <v>45348</v>
      </c>
      <c r="D30" s="48">
        <v>45348</v>
      </c>
      <c r="E30" s="52">
        <f t="shared" si="0"/>
        <v>1</v>
      </c>
      <c r="F30" s="40">
        <v>35</v>
      </c>
      <c r="G30" s="40" t="s">
        <v>14</v>
      </c>
      <c r="H30" s="40" t="s">
        <v>327</v>
      </c>
      <c r="I30" s="40" t="s">
        <v>328</v>
      </c>
      <c r="J30" s="67" t="s">
        <v>13</v>
      </c>
      <c r="K30" s="40"/>
      <c r="L30" s="40"/>
      <c r="M30" s="42"/>
      <c r="N30" s="42"/>
    </row>
    <row r="31" spans="1:14" x14ac:dyDescent="0.25">
      <c r="A31" s="40" t="s">
        <v>376</v>
      </c>
      <c r="B31" s="40" t="s">
        <v>377</v>
      </c>
      <c r="C31" s="41">
        <v>45348</v>
      </c>
      <c r="D31" s="74">
        <v>45356</v>
      </c>
      <c r="E31" s="52">
        <f t="shared" si="0"/>
        <v>9</v>
      </c>
      <c r="F31" s="40">
        <v>63</v>
      </c>
      <c r="G31" s="40" t="s">
        <v>12</v>
      </c>
      <c r="H31" s="40" t="s">
        <v>394</v>
      </c>
      <c r="I31" s="40" t="s">
        <v>395</v>
      </c>
      <c r="J31" s="67"/>
      <c r="K31" s="40"/>
      <c r="L31" s="40"/>
      <c r="M31" s="42"/>
      <c r="N31" s="42"/>
    </row>
    <row r="32" spans="1:14" s="65" customFormat="1" x14ac:dyDescent="0.25">
      <c r="A32" s="60" t="s">
        <v>378</v>
      </c>
      <c r="B32" s="60" t="s">
        <v>43</v>
      </c>
      <c r="C32" s="61">
        <v>45348</v>
      </c>
      <c r="D32" s="76">
        <v>45365</v>
      </c>
      <c r="E32" s="63">
        <f t="shared" si="0"/>
        <v>18</v>
      </c>
      <c r="F32" s="60">
        <v>35</v>
      </c>
      <c r="G32" s="60" t="s">
        <v>14</v>
      </c>
      <c r="H32" s="60" t="s">
        <v>379</v>
      </c>
      <c r="I32" s="77" t="s">
        <v>427</v>
      </c>
      <c r="J32" s="77" t="s">
        <v>13</v>
      </c>
      <c r="K32" s="60"/>
      <c r="L32" s="60"/>
    </row>
    <row r="33" spans="1:14" s="56" customFormat="1" x14ac:dyDescent="0.25">
      <c r="A33" s="53" t="s">
        <v>355</v>
      </c>
      <c r="B33" s="53" t="s">
        <v>356</v>
      </c>
      <c r="C33" s="54">
        <v>45350</v>
      </c>
      <c r="D33" s="59">
        <v>45352</v>
      </c>
      <c r="E33" s="55">
        <f t="shared" si="0"/>
        <v>3</v>
      </c>
      <c r="F33" s="53">
        <v>47</v>
      </c>
      <c r="G33" s="53" t="s">
        <v>12</v>
      </c>
      <c r="H33" s="53" t="s">
        <v>357</v>
      </c>
      <c r="I33" s="58" t="s">
        <v>145</v>
      </c>
      <c r="J33" s="57" t="s">
        <v>13</v>
      </c>
      <c r="K33" s="53"/>
      <c r="L33" s="53"/>
    </row>
    <row r="34" spans="1:14" x14ac:dyDescent="0.25">
      <c r="A34" s="40" t="s">
        <v>380</v>
      </c>
      <c r="B34" s="40" t="s">
        <v>381</v>
      </c>
      <c r="C34" s="41">
        <v>45344</v>
      </c>
      <c r="D34" s="41">
        <v>45371</v>
      </c>
      <c r="E34" s="52">
        <f t="shared" si="0"/>
        <v>28</v>
      </c>
      <c r="F34" s="40">
        <v>21</v>
      </c>
      <c r="G34" s="40" t="s">
        <v>14</v>
      </c>
      <c r="H34" s="40" t="s">
        <v>382</v>
      </c>
      <c r="I34" s="40" t="s">
        <v>704</v>
      </c>
      <c r="J34" s="40"/>
      <c r="K34" s="40"/>
      <c r="L34" s="40"/>
      <c r="M34" s="42"/>
      <c r="N34" s="42"/>
    </row>
    <row r="35" spans="1:14" x14ac:dyDescent="0.25">
      <c r="A35" s="40" t="s">
        <v>383</v>
      </c>
      <c r="B35" s="40" t="s">
        <v>384</v>
      </c>
      <c r="C35" s="41">
        <v>45351</v>
      </c>
      <c r="D35" s="41">
        <v>45362</v>
      </c>
      <c r="E35" s="52">
        <f t="shared" si="0"/>
        <v>12</v>
      </c>
      <c r="F35" s="40">
        <v>65</v>
      </c>
      <c r="G35" s="40" t="s">
        <v>14</v>
      </c>
      <c r="H35" s="40" t="s">
        <v>385</v>
      </c>
      <c r="I35" s="40" t="s">
        <v>393</v>
      </c>
      <c r="J35" s="40"/>
      <c r="K35" s="40"/>
      <c r="L35" s="40"/>
      <c r="M35" s="42"/>
      <c r="N35" s="42"/>
    </row>
    <row r="36" spans="1:14" x14ac:dyDescent="0.25">
      <c r="A36" s="40" t="s">
        <v>386</v>
      </c>
      <c r="B36" s="40" t="s">
        <v>387</v>
      </c>
      <c r="C36" s="41">
        <v>45351</v>
      </c>
      <c r="D36" s="41">
        <v>45363</v>
      </c>
      <c r="E36" s="52">
        <f t="shared" si="0"/>
        <v>13</v>
      </c>
      <c r="F36" s="40">
        <v>50</v>
      </c>
      <c r="G36" s="40" t="s">
        <v>14</v>
      </c>
      <c r="H36" s="40" t="s">
        <v>391</v>
      </c>
      <c r="I36" s="40" t="s">
        <v>392</v>
      </c>
      <c r="J36" s="40"/>
      <c r="K36" s="40"/>
      <c r="L36" s="40"/>
      <c r="M36" s="42"/>
      <c r="N36" s="42"/>
    </row>
    <row r="37" spans="1:14" s="65" customFormat="1" x14ac:dyDescent="0.25">
      <c r="A37" s="60" t="s">
        <v>338</v>
      </c>
      <c r="B37" s="60" t="s">
        <v>339</v>
      </c>
      <c r="C37" s="61">
        <v>45351</v>
      </c>
      <c r="D37" s="61">
        <v>45355</v>
      </c>
      <c r="E37" s="63">
        <f t="shared" si="0"/>
        <v>5</v>
      </c>
      <c r="F37" s="60">
        <v>16</v>
      </c>
      <c r="G37" s="60" t="s">
        <v>12</v>
      </c>
      <c r="H37" s="60" t="s">
        <v>340</v>
      </c>
      <c r="I37" s="60" t="s">
        <v>341</v>
      </c>
      <c r="J37" s="60"/>
      <c r="K37" s="60"/>
      <c r="L37" s="60"/>
    </row>
    <row r="38" spans="1:14" x14ac:dyDescent="0.25">
      <c r="A38" s="40"/>
      <c r="B38" s="40"/>
      <c r="C38" s="41"/>
      <c r="D38" s="41"/>
      <c r="E38" s="52">
        <f t="shared" si="0"/>
        <v>1</v>
      </c>
      <c r="F38" s="40"/>
      <c r="G38" s="40"/>
      <c r="H38" s="40"/>
      <c r="I38" s="40"/>
      <c r="J38" s="40"/>
      <c r="K38" s="40"/>
      <c r="L38" s="40"/>
      <c r="M38" s="42"/>
      <c r="N38" s="42"/>
    </row>
    <row r="39" spans="1:14" x14ac:dyDescent="0.25">
      <c r="A39" s="40"/>
      <c r="B39" s="40"/>
      <c r="C39" s="41"/>
      <c r="D39" s="41"/>
      <c r="E39" s="52">
        <f t="shared" si="0"/>
        <v>1</v>
      </c>
      <c r="F39" s="40"/>
      <c r="G39" s="40"/>
      <c r="H39" s="40"/>
      <c r="I39" s="40"/>
      <c r="J39" s="40"/>
      <c r="K39" s="40"/>
      <c r="L39" s="40"/>
      <c r="M39" s="42"/>
      <c r="N39" s="42"/>
    </row>
    <row r="40" spans="1:14" x14ac:dyDescent="0.25">
      <c r="A40" s="40"/>
      <c r="B40" s="40"/>
      <c r="C40" s="41"/>
      <c r="D40" s="48"/>
      <c r="E40" s="52">
        <f t="shared" si="0"/>
        <v>1</v>
      </c>
      <c r="F40" s="40"/>
      <c r="G40" s="40"/>
      <c r="H40" s="40"/>
      <c r="I40" s="40"/>
      <c r="J40" s="67"/>
      <c r="K40" s="40"/>
      <c r="L40" s="40"/>
      <c r="M40" s="42"/>
      <c r="N40" s="42"/>
    </row>
    <row r="41" spans="1:14" x14ac:dyDescent="0.25">
      <c r="A41" s="40"/>
      <c r="B41" s="40"/>
      <c r="C41" s="41"/>
      <c r="D41" s="48"/>
      <c r="E41" s="52">
        <f t="shared" si="0"/>
        <v>1</v>
      </c>
      <c r="F41" s="40"/>
      <c r="G41" s="40"/>
      <c r="H41" s="40"/>
      <c r="I41" s="40"/>
      <c r="J41" s="67"/>
      <c r="K41" s="40"/>
      <c r="L41" s="40"/>
      <c r="M41" s="42"/>
      <c r="N41" s="42"/>
    </row>
    <row r="42" spans="1:14" x14ac:dyDescent="0.25">
      <c r="A42" s="40"/>
      <c r="B42" s="40"/>
      <c r="C42" s="41"/>
      <c r="D42" s="48"/>
      <c r="E42" s="52">
        <f t="shared" si="0"/>
        <v>1</v>
      </c>
      <c r="F42" s="40"/>
      <c r="G42" s="40"/>
      <c r="H42" s="40"/>
      <c r="I42" s="40"/>
      <c r="J42" s="67"/>
      <c r="K42" s="40"/>
      <c r="L42" s="40"/>
      <c r="M42" s="42"/>
      <c r="N42" s="42"/>
    </row>
    <row r="43" spans="1:14" x14ac:dyDescent="0.25">
      <c r="A43" s="40"/>
      <c r="B43" s="40"/>
      <c r="C43" s="41"/>
      <c r="D43" s="41"/>
      <c r="E43" s="52">
        <f t="shared" si="0"/>
        <v>1</v>
      </c>
      <c r="F43" s="40"/>
      <c r="G43" s="40"/>
      <c r="H43" s="40"/>
      <c r="I43" s="40"/>
      <c r="J43" s="40"/>
      <c r="K43" s="40"/>
      <c r="L43" s="40"/>
      <c r="M43" s="42"/>
      <c r="N43" s="42"/>
    </row>
    <row r="44" spans="1:14" x14ac:dyDescent="0.25">
      <c r="A44" s="40"/>
      <c r="B44" s="40"/>
      <c r="C44" s="41"/>
      <c r="D44" s="48"/>
      <c r="E44" s="52">
        <f t="shared" si="0"/>
        <v>1</v>
      </c>
      <c r="F44" s="40"/>
      <c r="G44" s="40"/>
      <c r="H44" s="40"/>
      <c r="I44" s="40"/>
      <c r="J44" s="67"/>
      <c r="K44" s="40"/>
      <c r="L44" s="40"/>
      <c r="M44" s="42"/>
      <c r="N44" s="42"/>
    </row>
    <row r="45" spans="1:14" x14ac:dyDescent="0.25">
      <c r="A45" s="40"/>
      <c r="B45" s="40"/>
      <c r="C45" s="41"/>
      <c r="D45" s="41"/>
      <c r="E45" s="52">
        <f t="shared" si="0"/>
        <v>1</v>
      </c>
      <c r="F45" s="40"/>
      <c r="G45" s="40"/>
      <c r="H45" s="40"/>
      <c r="I45" s="40"/>
      <c r="J45" s="40"/>
      <c r="K45" s="40"/>
      <c r="L45" s="40"/>
      <c r="M45" s="42"/>
      <c r="N45" s="42"/>
    </row>
    <row r="46" spans="1:14" x14ac:dyDescent="0.25">
      <c r="A46" s="40"/>
      <c r="B46" s="40"/>
      <c r="C46" s="41"/>
      <c r="D46" s="48"/>
      <c r="E46" s="52">
        <f t="shared" si="0"/>
        <v>1</v>
      </c>
      <c r="F46" s="40"/>
      <c r="G46" s="40"/>
      <c r="H46" s="40"/>
      <c r="I46" s="40"/>
      <c r="J46" s="67"/>
      <c r="K46" s="40"/>
      <c r="L46" s="40"/>
      <c r="M46" s="42"/>
      <c r="N46" s="42"/>
    </row>
    <row r="47" spans="1:14" x14ac:dyDescent="0.25">
      <c r="A47" s="40"/>
      <c r="B47" s="40"/>
      <c r="C47" s="41"/>
      <c r="D47" s="48"/>
      <c r="E47" s="52">
        <f t="shared" si="0"/>
        <v>1</v>
      </c>
      <c r="F47" s="40"/>
      <c r="G47" s="40"/>
      <c r="H47" s="40"/>
      <c r="I47" s="40"/>
      <c r="J47" s="67"/>
      <c r="K47" s="40"/>
      <c r="L47" s="40"/>
      <c r="M47" s="42"/>
      <c r="N47" s="42"/>
    </row>
    <row r="48" spans="1:14" s="19" customFormat="1" x14ac:dyDescent="0.25">
      <c r="A48" s="40"/>
      <c r="B48" s="40"/>
      <c r="C48" s="41"/>
      <c r="D48" s="48"/>
      <c r="E48" s="52">
        <f t="shared" si="0"/>
        <v>1</v>
      </c>
      <c r="F48" s="40"/>
      <c r="G48" s="40"/>
      <c r="H48" s="40"/>
      <c r="I48" s="71"/>
      <c r="J48" s="67"/>
      <c r="K48" s="40"/>
      <c r="L48" s="40"/>
      <c r="M48" s="42"/>
      <c r="N48" s="42"/>
    </row>
    <row r="49" spans="1:14" x14ac:dyDescent="0.25">
      <c r="A49" s="40"/>
      <c r="B49" s="40"/>
      <c r="C49" s="41"/>
      <c r="D49" s="41"/>
      <c r="E49" s="52">
        <f t="shared" si="0"/>
        <v>1</v>
      </c>
      <c r="F49" s="40"/>
      <c r="G49" s="40"/>
      <c r="H49" s="40"/>
      <c r="I49" s="40"/>
      <c r="J49" s="40"/>
      <c r="K49" s="40"/>
      <c r="L49" s="40"/>
      <c r="M49" s="42"/>
      <c r="N49" s="42"/>
    </row>
    <row r="50" spans="1:14" x14ac:dyDescent="0.25">
      <c r="A50" s="40"/>
      <c r="B50" s="40"/>
      <c r="C50" s="41"/>
      <c r="D50" s="41"/>
      <c r="E50" s="52">
        <f t="shared" si="0"/>
        <v>1</v>
      </c>
      <c r="F50" s="40"/>
      <c r="G50" s="40"/>
      <c r="H50" s="40"/>
      <c r="I50" s="40"/>
      <c r="J50" s="40"/>
      <c r="K50" s="40"/>
      <c r="L50" s="40"/>
      <c r="M50" s="42"/>
      <c r="N50" s="42"/>
    </row>
    <row r="51" spans="1:14" x14ac:dyDescent="0.25">
      <c r="A51" s="40"/>
      <c r="B51" s="40"/>
      <c r="C51" s="41"/>
      <c r="D51" s="41"/>
      <c r="E51" s="52">
        <f t="shared" si="0"/>
        <v>1</v>
      </c>
      <c r="F51" s="40"/>
      <c r="G51" s="40"/>
      <c r="H51" s="40"/>
      <c r="I51" s="40"/>
      <c r="J51" s="40"/>
      <c r="K51" s="40"/>
      <c r="L51" s="40"/>
      <c r="M51" s="42"/>
      <c r="N51" s="42"/>
    </row>
    <row r="52" spans="1:14" x14ac:dyDescent="0.25">
      <c r="A52" s="40"/>
      <c r="B52" s="40"/>
      <c r="C52" s="41"/>
      <c r="D52" s="48"/>
      <c r="E52" s="52">
        <f t="shared" si="0"/>
        <v>1</v>
      </c>
      <c r="F52" s="40"/>
      <c r="G52" s="40"/>
      <c r="H52" s="40"/>
      <c r="I52" s="40"/>
      <c r="J52" s="67"/>
      <c r="K52" s="40"/>
      <c r="L52" s="40"/>
      <c r="M52" s="42"/>
      <c r="N52" s="42"/>
    </row>
    <row r="53" spans="1:14" x14ac:dyDescent="0.25">
      <c r="A53" s="40"/>
      <c r="B53" s="40"/>
      <c r="C53" s="41"/>
      <c r="D53" s="41"/>
      <c r="E53" s="52">
        <f t="shared" si="0"/>
        <v>1</v>
      </c>
      <c r="F53" s="40"/>
      <c r="G53" s="40"/>
      <c r="H53" s="40"/>
      <c r="I53" s="40"/>
      <c r="J53" s="40"/>
      <c r="K53" s="40"/>
      <c r="L53" s="40"/>
      <c r="M53" s="42"/>
      <c r="N53" s="42"/>
    </row>
    <row r="54" spans="1:14" x14ac:dyDescent="0.25">
      <c r="A54" s="40"/>
      <c r="B54" s="40"/>
      <c r="C54" s="41"/>
      <c r="D54" s="48"/>
      <c r="E54" s="52">
        <f t="shared" si="0"/>
        <v>1</v>
      </c>
      <c r="F54" s="40"/>
      <c r="G54" s="40"/>
      <c r="H54" s="40"/>
      <c r="I54" s="40"/>
      <c r="J54" s="67"/>
      <c r="K54" s="40"/>
      <c r="L54" s="40"/>
      <c r="M54" s="42"/>
      <c r="N54" s="42"/>
    </row>
    <row r="55" spans="1:14" x14ac:dyDescent="0.25">
      <c r="A55" s="40"/>
      <c r="B55" s="40"/>
      <c r="C55" s="41"/>
      <c r="D55" s="48"/>
      <c r="E55" s="52">
        <f t="shared" si="0"/>
        <v>1</v>
      </c>
      <c r="F55" s="40"/>
      <c r="G55" s="40"/>
      <c r="H55" s="40"/>
      <c r="I55" s="40"/>
      <c r="J55" s="67"/>
      <c r="K55" s="40"/>
      <c r="L55" s="40"/>
      <c r="M55" s="42"/>
      <c r="N55" s="42"/>
    </row>
    <row r="56" spans="1:14" x14ac:dyDescent="0.25">
      <c r="A56" s="40"/>
      <c r="B56" s="40"/>
      <c r="C56" s="41"/>
      <c r="D56" s="48"/>
      <c r="E56" s="52">
        <f t="shared" si="0"/>
        <v>1</v>
      </c>
      <c r="F56" s="40"/>
      <c r="G56" s="40"/>
      <c r="H56" s="40"/>
      <c r="I56" s="40"/>
      <c r="J56" s="67"/>
      <c r="K56" s="40"/>
      <c r="L56" s="40"/>
      <c r="M56" s="42"/>
      <c r="N56" s="42"/>
    </row>
    <row r="57" spans="1:14" x14ac:dyDescent="0.25">
      <c r="A57" s="40"/>
      <c r="B57" s="40"/>
      <c r="C57" s="41"/>
      <c r="D57" s="41"/>
      <c r="E57" s="52">
        <f t="shared" si="0"/>
        <v>1</v>
      </c>
      <c r="F57" s="40"/>
      <c r="G57" s="40"/>
      <c r="H57" s="40"/>
      <c r="I57" s="40"/>
      <c r="J57" s="40"/>
      <c r="K57" s="40"/>
      <c r="L57" s="40"/>
      <c r="M57" s="42"/>
      <c r="N57" s="42"/>
    </row>
    <row r="58" spans="1:14" x14ac:dyDescent="0.25">
      <c r="A58" s="40"/>
      <c r="B58" s="40"/>
      <c r="C58" s="41"/>
      <c r="D58" s="48"/>
      <c r="E58" s="52">
        <f t="shared" si="0"/>
        <v>1</v>
      </c>
      <c r="F58" s="40"/>
      <c r="G58" s="40"/>
      <c r="H58" s="40"/>
      <c r="I58" s="40"/>
      <c r="J58" s="67"/>
      <c r="K58" s="40"/>
      <c r="L58" s="40"/>
      <c r="M58" s="42"/>
      <c r="N58" s="42"/>
    </row>
    <row r="59" spans="1:14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40"/>
      <c r="K59" s="40"/>
      <c r="L59" s="40"/>
      <c r="M59" s="42"/>
      <c r="N59" s="42"/>
    </row>
    <row r="60" spans="1:14" x14ac:dyDescent="0.25">
      <c r="A60" s="40"/>
      <c r="B60" s="40"/>
      <c r="C60" s="41"/>
      <c r="D60" s="48"/>
      <c r="E60" s="52">
        <f t="shared" si="0"/>
        <v>1</v>
      </c>
      <c r="F60" s="40"/>
      <c r="G60" s="40"/>
      <c r="H60" s="40"/>
      <c r="I60" s="40"/>
      <c r="J60" s="67"/>
      <c r="K60" s="40"/>
      <c r="L60" s="40"/>
      <c r="M60" s="42"/>
      <c r="N60" s="42"/>
    </row>
    <row r="61" spans="1:14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40"/>
      <c r="L61" s="40"/>
      <c r="M61" s="42"/>
      <c r="N61" s="42"/>
    </row>
    <row r="62" spans="1:14" s="15" customFormat="1" x14ac:dyDescent="0.25">
      <c r="A62" s="40"/>
      <c r="B62" s="40"/>
      <c r="C62" s="41"/>
      <c r="D62" s="41"/>
      <c r="E62" s="52">
        <f t="shared" si="0"/>
        <v>1</v>
      </c>
      <c r="F62" s="40"/>
      <c r="G62" s="40"/>
      <c r="H62" s="40"/>
      <c r="I62" s="40"/>
      <c r="J62" s="40"/>
      <c r="K62" s="40"/>
      <c r="L62" s="40"/>
      <c r="M62" s="42"/>
      <c r="N62" s="42"/>
    </row>
    <row r="63" spans="1:14" s="19" customFormat="1" x14ac:dyDescent="0.25">
      <c r="A63" s="40"/>
      <c r="B63" s="40"/>
      <c r="C63" s="41"/>
      <c r="D63" s="41"/>
      <c r="E63" s="52">
        <f t="shared" si="0"/>
        <v>1</v>
      </c>
      <c r="F63" s="40"/>
      <c r="G63" s="40"/>
      <c r="H63" s="40"/>
      <c r="I63" s="71"/>
      <c r="J63" s="40"/>
      <c r="K63" s="40"/>
      <c r="L63" s="40"/>
      <c r="M63" s="42"/>
      <c r="N63" s="42"/>
    </row>
    <row r="64" spans="1:14" x14ac:dyDescent="0.25">
      <c r="A64" s="40"/>
      <c r="B64" s="40"/>
      <c r="C64" s="41"/>
      <c r="D64" s="41"/>
      <c r="E64" s="52">
        <f t="shared" si="0"/>
        <v>1</v>
      </c>
      <c r="F64" s="40"/>
      <c r="G64" s="40"/>
      <c r="H64" s="40"/>
      <c r="I64" s="40"/>
      <c r="J64" s="40"/>
      <c r="K64" s="40"/>
      <c r="L64" s="40"/>
      <c r="M64" s="42"/>
      <c r="N64" s="42"/>
    </row>
    <row r="65" spans="1:14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40"/>
      <c r="K65" s="40"/>
      <c r="L65" s="40"/>
      <c r="M65" s="42"/>
      <c r="N65" s="42"/>
    </row>
    <row r="66" spans="1:14" s="19" customFormat="1" x14ac:dyDescent="0.25">
      <c r="A66" s="40"/>
      <c r="B66" s="40"/>
      <c r="C66" s="41"/>
      <c r="D66" s="48"/>
      <c r="E66" s="52">
        <f t="shared" ref="E66:E81" si="1">D66-C66+1</f>
        <v>1</v>
      </c>
      <c r="F66" s="40"/>
      <c r="G66" s="40"/>
      <c r="H66" s="40"/>
      <c r="I66" s="71"/>
      <c r="J66" s="67"/>
      <c r="K66" s="40"/>
      <c r="L66" s="40"/>
      <c r="M66" s="42"/>
      <c r="N66" s="42"/>
    </row>
    <row r="67" spans="1:14" x14ac:dyDescent="0.25">
      <c r="A67" s="40"/>
      <c r="B67" s="40"/>
      <c r="C67" s="41"/>
      <c r="D67" s="41"/>
      <c r="E67" s="52">
        <f t="shared" si="1"/>
        <v>1</v>
      </c>
      <c r="F67" s="40"/>
      <c r="G67" s="40"/>
      <c r="H67" s="40"/>
      <c r="I67" s="40"/>
      <c r="J67" s="40"/>
      <c r="K67" s="40"/>
      <c r="L67" s="40"/>
      <c r="M67" s="42"/>
      <c r="N67" s="42"/>
    </row>
    <row r="68" spans="1:14" x14ac:dyDescent="0.25">
      <c r="A68" s="40"/>
      <c r="B68" s="40"/>
      <c r="C68" s="41"/>
      <c r="D68" s="41"/>
      <c r="E68" s="52">
        <f t="shared" si="1"/>
        <v>1</v>
      </c>
      <c r="F68" s="40"/>
      <c r="G68" s="40"/>
      <c r="H68" s="40"/>
      <c r="I68" s="40"/>
      <c r="J68" s="40"/>
      <c r="K68" s="40"/>
      <c r="L68" s="40"/>
      <c r="M68" s="42"/>
      <c r="N68" s="42"/>
    </row>
    <row r="69" spans="1:14" x14ac:dyDescent="0.25">
      <c r="A69" s="40"/>
      <c r="B69" s="40"/>
      <c r="C69" s="41"/>
      <c r="D69" s="41"/>
      <c r="E69" s="52">
        <f t="shared" si="1"/>
        <v>1</v>
      </c>
      <c r="F69" s="40"/>
      <c r="G69" s="40"/>
      <c r="H69" s="40"/>
      <c r="I69" s="40"/>
      <c r="J69" s="40"/>
      <c r="K69" s="40"/>
      <c r="L69" s="40"/>
      <c r="M69" s="42"/>
      <c r="N69" s="42"/>
    </row>
    <row r="70" spans="1:14" x14ac:dyDescent="0.25">
      <c r="A70" s="40"/>
      <c r="B70" s="40"/>
      <c r="C70" s="41"/>
      <c r="D70" s="48"/>
      <c r="E70" s="52">
        <f t="shared" si="1"/>
        <v>1</v>
      </c>
      <c r="F70" s="40"/>
      <c r="G70" s="40"/>
      <c r="H70" s="40"/>
      <c r="I70" s="40"/>
      <c r="J70" s="67"/>
      <c r="K70" s="40"/>
      <c r="L70" s="40"/>
      <c r="M70" s="42"/>
      <c r="N70" s="42"/>
    </row>
    <row r="71" spans="1:14" x14ac:dyDescent="0.25">
      <c r="A71" s="40"/>
      <c r="B71" s="40"/>
      <c r="C71" s="41"/>
      <c r="D71" s="41"/>
      <c r="E71" s="52">
        <f t="shared" si="1"/>
        <v>1</v>
      </c>
      <c r="F71" s="40"/>
      <c r="G71" s="40"/>
      <c r="H71" s="40"/>
      <c r="I71" s="40"/>
      <c r="J71" s="40"/>
      <c r="K71" s="40"/>
      <c r="L71" s="40"/>
      <c r="M71" s="42"/>
      <c r="N71" s="42"/>
    </row>
    <row r="72" spans="1:14" x14ac:dyDescent="0.25">
      <c r="A72" s="40"/>
      <c r="B72" s="40"/>
      <c r="C72" s="41"/>
      <c r="D72" s="41"/>
      <c r="E72" s="52">
        <f t="shared" si="1"/>
        <v>1</v>
      </c>
      <c r="F72" s="40"/>
      <c r="G72" s="40"/>
      <c r="H72" s="40"/>
      <c r="I72" s="40"/>
      <c r="J72" s="40"/>
      <c r="K72" s="40"/>
      <c r="L72" s="40"/>
      <c r="M72" s="42"/>
      <c r="N72" s="42"/>
    </row>
    <row r="73" spans="1:14" s="19" customFormat="1" x14ac:dyDescent="0.25">
      <c r="A73" s="40"/>
      <c r="B73" s="40"/>
      <c r="C73" s="41"/>
      <c r="D73" s="41"/>
      <c r="E73" s="52">
        <f t="shared" si="1"/>
        <v>1</v>
      </c>
      <c r="F73" s="40"/>
      <c r="G73" s="40"/>
      <c r="H73" s="40"/>
      <c r="I73" s="71"/>
      <c r="J73" s="40"/>
      <c r="K73" s="40"/>
      <c r="L73" s="40"/>
      <c r="M73" s="42"/>
      <c r="N73" s="42"/>
    </row>
    <row r="74" spans="1:14" x14ac:dyDescent="0.25">
      <c r="A74" s="40"/>
      <c r="B74" s="40"/>
      <c r="C74" s="41"/>
      <c r="D74" s="41"/>
      <c r="E74" s="52">
        <f t="shared" si="1"/>
        <v>1</v>
      </c>
      <c r="F74" s="40"/>
      <c r="G74" s="40"/>
      <c r="H74" s="40"/>
      <c r="I74" s="40"/>
      <c r="J74" s="40"/>
      <c r="K74" s="40"/>
      <c r="L74" s="40"/>
      <c r="M74" s="42"/>
      <c r="N74" s="42"/>
    </row>
    <row r="75" spans="1:14" x14ac:dyDescent="0.25">
      <c r="A75" s="40"/>
      <c r="B75" s="40"/>
      <c r="C75" s="41"/>
      <c r="D75" s="48"/>
      <c r="E75" s="52">
        <f t="shared" si="1"/>
        <v>1</v>
      </c>
      <c r="F75" s="40"/>
      <c r="G75" s="40"/>
      <c r="H75" s="40"/>
      <c r="I75" s="40"/>
      <c r="J75" s="67"/>
      <c r="K75" s="40"/>
      <c r="L75" s="40"/>
      <c r="M75" s="42"/>
      <c r="N75" s="42"/>
    </row>
    <row r="76" spans="1:14" x14ac:dyDescent="0.25">
      <c r="A76" s="40"/>
      <c r="B76" s="40"/>
      <c r="C76" s="41"/>
      <c r="D76" s="41"/>
      <c r="E76" s="52">
        <f t="shared" si="1"/>
        <v>1</v>
      </c>
      <c r="F76" s="40"/>
      <c r="G76" s="40"/>
      <c r="H76" s="40"/>
      <c r="I76" s="40"/>
      <c r="J76" s="40"/>
      <c r="K76" s="40"/>
      <c r="L76" s="40"/>
      <c r="M76" s="42"/>
      <c r="N76" s="42"/>
    </row>
    <row r="77" spans="1:14" x14ac:dyDescent="0.25">
      <c r="A77" s="40"/>
      <c r="B77" s="40"/>
      <c r="C77" s="40"/>
      <c r="D77" s="40"/>
      <c r="E77" s="52">
        <f t="shared" si="1"/>
        <v>1</v>
      </c>
      <c r="F77" s="40"/>
      <c r="G77" s="40"/>
      <c r="H77" s="40"/>
      <c r="I77" s="40"/>
      <c r="J77" s="40"/>
      <c r="K77" s="40"/>
      <c r="L77" s="40"/>
      <c r="M77" s="42"/>
      <c r="N77" s="42"/>
    </row>
    <row r="78" spans="1:14" x14ac:dyDescent="0.25">
      <c r="A78" s="40"/>
      <c r="B78" s="40"/>
      <c r="C78" s="40"/>
      <c r="D78" s="41"/>
      <c r="E78" s="52">
        <f t="shared" si="1"/>
        <v>1</v>
      </c>
      <c r="F78" s="40"/>
      <c r="G78" s="40"/>
      <c r="H78" s="40"/>
      <c r="I78" s="40"/>
      <c r="J78" s="40"/>
      <c r="K78" s="40"/>
      <c r="L78" s="40"/>
      <c r="M78" s="42"/>
      <c r="N78" s="42"/>
    </row>
    <row r="79" spans="1:14" x14ac:dyDescent="0.25">
      <c r="A79" s="40"/>
      <c r="B79" s="40"/>
      <c r="C79" s="40"/>
      <c r="D79" s="41"/>
      <c r="E79" s="52">
        <f t="shared" si="1"/>
        <v>1</v>
      </c>
      <c r="F79" s="40"/>
      <c r="G79" s="40"/>
      <c r="H79" s="40"/>
      <c r="I79" s="40"/>
      <c r="J79" s="40"/>
      <c r="K79" s="40"/>
      <c r="L79" s="40"/>
      <c r="M79" s="42"/>
      <c r="N79" s="42"/>
    </row>
    <row r="80" spans="1:14" x14ac:dyDescent="0.25">
      <c r="A80" s="40"/>
      <c r="B80" s="40"/>
      <c r="C80" s="40"/>
      <c r="D80" s="40"/>
      <c r="E80" s="52">
        <f t="shared" si="1"/>
        <v>1</v>
      </c>
      <c r="F80" s="40"/>
      <c r="G80" s="40"/>
      <c r="H80" s="40"/>
      <c r="I80" s="40"/>
      <c r="J80" s="40"/>
      <c r="K80" s="40"/>
      <c r="L80" s="40"/>
      <c r="M80" s="42"/>
      <c r="N80" s="42"/>
    </row>
    <row r="81" spans="1:14" x14ac:dyDescent="0.25">
      <c r="A81" s="40"/>
      <c r="B81" s="40"/>
      <c r="C81" s="40"/>
      <c r="D81" s="40"/>
      <c r="E81" s="52">
        <f t="shared" si="1"/>
        <v>1</v>
      </c>
      <c r="F81" s="40"/>
      <c r="G81" s="40"/>
      <c r="H81" s="40"/>
      <c r="I81" s="40"/>
      <c r="J81" s="40"/>
      <c r="K81" s="40"/>
      <c r="L81" s="40"/>
      <c r="M81" s="42"/>
      <c r="N81" s="42"/>
    </row>
    <row r="82" spans="1:14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2"/>
      <c r="N82" s="42"/>
    </row>
    <row r="83" spans="1:14" s="11" customFormat="1" x14ac:dyDescent="0.25">
      <c r="A83" s="72"/>
      <c r="B83" s="72"/>
      <c r="C83" s="72"/>
      <c r="D83" s="72"/>
      <c r="E83" s="40"/>
      <c r="F83" s="72"/>
      <c r="G83" s="72"/>
      <c r="H83" s="72"/>
      <c r="I83" s="72"/>
      <c r="J83" s="72"/>
      <c r="K83" s="72"/>
      <c r="L83" s="72"/>
      <c r="M83" s="73"/>
      <c r="N83" s="73"/>
    </row>
    <row r="84" spans="1:14" x14ac:dyDescent="0.25">
      <c r="A84" s="40"/>
      <c r="B84" s="40"/>
      <c r="C84" s="41"/>
      <c r="D84" s="41"/>
      <c r="E84" s="40"/>
      <c r="F84" s="40"/>
      <c r="G84" s="40"/>
      <c r="H84" s="40"/>
      <c r="I84" s="40"/>
      <c r="J84" s="40"/>
      <c r="K84" s="40"/>
      <c r="L84" s="40"/>
      <c r="M84" s="42"/>
      <c r="N84" s="42"/>
    </row>
    <row r="85" spans="1:14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2"/>
      <c r="N85" s="42"/>
    </row>
    <row r="86" spans="1:14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2"/>
      <c r="N86" s="42"/>
    </row>
    <row r="87" spans="1:14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2"/>
      <c r="N87" s="42"/>
    </row>
    <row r="88" spans="1:14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2"/>
      <c r="N88" s="42"/>
    </row>
    <row r="89" spans="1:14" x14ac:dyDescent="0.25">
      <c r="A89" s="40"/>
      <c r="B89" s="40"/>
      <c r="C89" s="40"/>
      <c r="D89" s="41"/>
      <c r="E89" s="40"/>
      <c r="F89" s="40"/>
      <c r="G89" s="40"/>
      <c r="H89" s="40"/>
      <c r="I89" s="40"/>
      <c r="J89" s="40"/>
      <c r="K89" s="40"/>
      <c r="L89" s="40"/>
      <c r="M89" s="42"/>
      <c r="N89" s="42"/>
    </row>
    <row r="90" spans="1:14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2"/>
      <c r="N90" s="42"/>
    </row>
    <row r="91" spans="1:14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2"/>
      <c r="N91" s="42"/>
    </row>
    <row r="92" spans="1:14" x14ac:dyDescent="0.25">
      <c r="A92" s="40"/>
      <c r="B92" s="40"/>
      <c r="C92" s="40"/>
      <c r="D92" s="41"/>
      <c r="E92" s="40"/>
      <c r="F92" s="40"/>
      <c r="G92" s="40"/>
      <c r="H92" s="40"/>
      <c r="I92" s="40"/>
      <c r="J92" s="40"/>
      <c r="K92" s="40"/>
      <c r="L92" s="40"/>
      <c r="M92" s="42"/>
      <c r="N92" s="42"/>
    </row>
    <row r="93" spans="1:14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2"/>
      <c r="N93" s="42"/>
    </row>
    <row r="94" spans="1:14" x14ac:dyDescent="0.25">
      <c r="A94" s="1"/>
      <c r="B94" s="1"/>
      <c r="C94" s="1"/>
      <c r="D94" s="1"/>
      <c r="E94" s="1">
        <f t="shared" ref="E94:E116" si="2">D94-C94</f>
        <v>0</v>
      </c>
      <c r="F94" s="1"/>
      <c r="G94" s="1"/>
      <c r="H94" s="1"/>
      <c r="I94" s="1"/>
      <c r="J94" s="1"/>
      <c r="K94" s="1"/>
      <c r="L94" s="1"/>
    </row>
    <row r="95" spans="1:14" x14ac:dyDescent="0.25">
      <c r="A95" s="1"/>
      <c r="B95" s="1"/>
      <c r="C95" s="1"/>
      <c r="D95" s="1"/>
      <c r="E95" s="1">
        <f t="shared" si="2"/>
        <v>0</v>
      </c>
      <c r="F95" s="1"/>
      <c r="G95" s="1"/>
      <c r="H95" s="1"/>
      <c r="I95" s="1"/>
      <c r="J95" s="1"/>
      <c r="K95" s="1"/>
      <c r="L95" s="1"/>
    </row>
    <row r="96" spans="1:14" x14ac:dyDescent="0.25">
      <c r="A96" s="1"/>
      <c r="B96" s="1"/>
      <c r="C96" s="1"/>
      <c r="D96" s="1"/>
      <c r="E96" s="1">
        <f t="shared" si="2"/>
        <v>0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/>
      <c r="E97" s="1">
        <f t="shared" si="2"/>
        <v>0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>
        <f t="shared" si="2"/>
        <v>0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1">
        <f t="shared" si="2"/>
        <v>0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>
        <f t="shared" si="2"/>
        <v>0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>
        <f t="shared" si="2"/>
        <v>0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>
        <f t="shared" si="2"/>
        <v>0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>
        <f t="shared" si="2"/>
        <v>0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>
        <f t="shared" si="2"/>
        <v>0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>
        <f t="shared" si="2"/>
        <v>0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>
        <f t="shared" si="2"/>
        <v>0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>
        <f t="shared" si="2"/>
        <v>0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>
        <f t="shared" si="2"/>
        <v>0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>
        <f t="shared" si="2"/>
        <v>0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>
        <f t="shared" si="2"/>
        <v>0</v>
      </c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>
        <f t="shared" si="2"/>
        <v>0</v>
      </c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4"/>
      <c r="D112" s="1"/>
      <c r="E112" s="1">
        <f t="shared" si="2"/>
        <v>0</v>
      </c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4"/>
      <c r="D113" s="1"/>
      <c r="E113" s="1">
        <f t="shared" si="2"/>
        <v>0</v>
      </c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1">
        <f t="shared" si="2"/>
        <v>0</v>
      </c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1">
        <f t="shared" si="2"/>
        <v>0</v>
      </c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>
        <f t="shared" si="2"/>
        <v>0</v>
      </c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>
        <f t="shared" ref="E117:E130" si="3">D117-C117</f>
        <v>0</v>
      </c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>
        <f t="shared" si="3"/>
        <v>0</v>
      </c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>
        <f t="shared" si="3"/>
        <v>0</v>
      </c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>
        <f t="shared" si="3"/>
        <v>0</v>
      </c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>
        <f t="shared" si="3"/>
        <v>0</v>
      </c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>
        <f t="shared" si="3"/>
        <v>0</v>
      </c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>
        <f t="shared" si="3"/>
        <v>0</v>
      </c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>
        <f t="shared" si="3"/>
        <v>0</v>
      </c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>
        <f t="shared" si="3"/>
        <v>0</v>
      </c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>
        <f t="shared" si="3"/>
        <v>0</v>
      </c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>
        <f t="shared" si="3"/>
        <v>0</v>
      </c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>
        <f t="shared" si="3"/>
        <v>0</v>
      </c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>
        <f t="shared" si="3"/>
        <v>0</v>
      </c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>
        <f t="shared" si="3"/>
        <v>0</v>
      </c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>
        <f t="shared" ref="E131" si="4">D131-C131</f>
        <v>0</v>
      </c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topLeftCell="A28" workbookViewId="0">
      <selection activeCell="I49" sqref="I49"/>
    </sheetView>
  </sheetViews>
  <sheetFormatPr baseColWidth="10" defaultRowHeight="15" x14ac:dyDescent="0.25"/>
  <cols>
    <col min="1" max="1" width="14.85546875" customWidth="1"/>
    <col min="2" max="2" width="25.7109375" customWidth="1"/>
    <col min="3" max="3" width="13.7109375" customWidth="1"/>
    <col min="4" max="4" width="12.7109375" customWidth="1"/>
    <col min="5" max="5" width="14.7109375" customWidth="1"/>
    <col min="8" max="8" width="36.85546875" customWidth="1"/>
    <col min="9" max="9" width="38.5703125" customWidth="1"/>
    <col min="10" max="10" width="14.85546875" customWidth="1"/>
  </cols>
  <sheetData>
    <row r="1" spans="1:16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6" s="56" customFormat="1" x14ac:dyDescent="0.25">
      <c r="A2" s="53" t="s">
        <v>411</v>
      </c>
      <c r="B2" s="53" t="s">
        <v>412</v>
      </c>
      <c r="C2" s="54">
        <v>45352</v>
      </c>
      <c r="D2" s="59">
        <v>45354</v>
      </c>
      <c r="E2" s="55">
        <f t="shared" ref="E2:E65" si="0">D2-C2+1</f>
        <v>3</v>
      </c>
      <c r="F2" s="53">
        <v>26</v>
      </c>
      <c r="G2" s="53" t="s">
        <v>12</v>
      </c>
      <c r="H2" s="53" t="s">
        <v>413</v>
      </c>
      <c r="I2" s="58" t="s">
        <v>414</v>
      </c>
      <c r="J2" s="57" t="s">
        <v>13</v>
      </c>
      <c r="K2" s="53"/>
      <c r="L2" s="53"/>
    </row>
    <row r="3" spans="1:16" ht="15.75" x14ac:dyDescent="0.25">
      <c r="A3" s="40" t="s">
        <v>407</v>
      </c>
      <c r="B3" s="40" t="s">
        <v>408</v>
      </c>
      <c r="C3" s="41">
        <v>45352</v>
      </c>
      <c r="D3" s="41">
        <v>45355</v>
      </c>
      <c r="E3" s="52">
        <f t="shared" si="0"/>
        <v>4</v>
      </c>
      <c r="F3" s="40">
        <v>66</v>
      </c>
      <c r="G3" s="40" t="s">
        <v>14</v>
      </c>
      <c r="H3" s="40" t="s">
        <v>409</v>
      </c>
      <c r="I3" s="75" t="s">
        <v>410</v>
      </c>
      <c r="J3" s="79"/>
      <c r="K3" s="66"/>
      <c r="L3" s="40"/>
      <c r="M3" s="42"/>
      <c r="N3" s="42"/>
    </row>
    <row r="4" spans="1:16" x14ac:dyDescent="0.25">
      <c r="A4" s="40" t="s">
        <v>415</v>
      </c>
      <c r="B4" s="40" t="s">
        <v>416</v>
      </c>
      <c r="C4" s="41">
        <v>45352</v>
      </c>
      <c r="D4" s="41">
        <v>45358</v>
      </c>
      <c r="E4" s="52">
        <f t="shared" si="0"/>
        <v>7</v>
      </c>
      <c r="F4" s="40">
        <v>59</v>
      </c>
      <c r="G4" s="40" t="s">
        <v>12</v>
      </c>
      <c r="H4" s="40" t="s">
        <v>417</v>
      </c>
      <c r="I4" s="40" t="s">
        <v>37</v>
      </c>
      <c r="J4" s="71"/>
      <c r="K4" s="40"/>
      <c r="L4" s="40"/>
      <c r="M4" s="42"/>
      <c r="N4" s="42"/>
    </row>
    <row r="5" spans="1:16" s="56" customFormat="1" x14ac:dyDescent="0.25">
      <c r="A5" s="53" t="s">
        <v>439</v>
      </c>
      <c r="B5" s="53" t="s">
        <v>440</v>
      </c>
      <c r="C5" s="54">
        <v>45355</v>
      </c>
      <c r="D5" s="54">
        <v>45371</v>
      </c>
      <c r="E5" s="55">
        <f t="shared" si="0"/>
        <v>17</v>
      </c>
      <c r="F5" s="53">
        <v>77</v>
      </c>
      <c r="G5" s="53" t="s">
        <v>12</v>
      </c>
      <c r="H5" s="53" t="s">
        <v>441</v>
      </c>
      <c r="I5" s="58" t="s">
        <v>442</v>
      </c>
      <c r="J5" s="81"/>
      <c r="K5" s="81"/>
      <c r="L5" s="53"/>
    </row>
    <row r="6" spans="1:16" x14ac:dyDescent="0.25">
      <c r="A6" s="40" t="s">
        <v>423</v>
      </c>
      <c r="B6" s="40" t="s">
        <v>424</v>
      </c>
      <c r="C6" s="41">
        <v>45355</v>
      </c>
      <c r="D6" s="48">
        <v>45365</v>
      </c>
      <c r="E6" s="52">
        <f t="shared" si="0"/>
        <v>11</v>
      </c>
      <c r="F6" s="40">
        <v>21</v>
      </c>
      <c r="G6" s="40" t="s">
        <v>12</v>
      </c>
      <c r="H6" s="40" t="s">
        <v>425</v>
      </c>
      <c r="I6" s="40" t="s">
        <v>426</v>
      </c>
      <c r="J6" s="67" t="s">
        <v>13</v>
      </c>
      <c r="K6" s="40"/>
      <c r="L6" s="40"/>
      <c r="M6" s="42"/>
      <c r="N6" s="42"/>
    </row>
    <row r="7" spans="1:16" x14ac:dyDescent="0.25">
      <c r="A7" s="40" t="s">
        <v>511</v>
      </c>
      <c r="B7" s="40" t="s">
        <v>512</v>
      </c>
      <c r="C7" s="41">
        <v>45355</v>
      </c>
      <c r="D7" s="48">
        <v>45383</v>
      </c>
      <c r="E7" s="52">
        <f t="shared" si="0"/>
        <v>29</v>
      </c>
      <c r="F7" s="40">
        <v>59</v>
      </c>
      <c r="G7" s="40" t="s">
        <v>14</v>
      </c>
      <c r="H7" s="40" t="s">
        <v>513</v>
      </c>
      <c r="I7" s="40" t="s">
        <v>514</v>
      </c>
      <c r="J7" s="67" t="s">
        <v>13</v>
      </c>
      <c r="K7" s="40"/>
      <c r="L7" s="40"/>
      <c r="M7" s="42"/>
      <c r="N7" s="42"/>
    </row>
    <row r="8" spans="1:16" x14ac:dyDescent="0.25">
      <c r="A8" s="40" t="s">
        <v>435</v>
      </c>
      <c r="B8" s="40" t="s">
        <v>436</v>
      </c>
      <c r="C8" s="41">
        <v>45355</v>
      </c>
      <c r="D8" s="41">
        <v>45366</v>
      </c>
      <c r="E8" s="52">
        <f t="shared" si="0"/>
        <v>12</v>
      </c>
      <c r="F8" s="40">
        <v>53</v>
      </c>
      <c r="G8" s="40" t="s">
        <v>12</v>
      </c>
      <c r="H8" s="40" t="s">
        <v>437</v>
      </c>
      <c r="I8" s="40" t="s">
        <v>438</v>
      </c>
      <c r="J8" s="40"/>
      <c r="K8" s="40"/>
      <c r="L8" s="40"/>
      <c r="M8" s="42"/>
      <c r="N8" s="42"/>
    </row>
    <row r="9" spans="1:16" x14ac:dyDescent="0.25">
      <c r="A9" s="40" t="s">
        <v>497</v>
      </c>
      <c r="B9" s="40" t="s">
        <v>498</v>
      </c>
      <c r="C9" s="41">
        <v>45355</v>
      </c>
      <c r="D9" s="48">
        <v>45355</v>
      </c>
      <c r="E9" s="52">
        <f t="shared" si="0"/>
        <v>1</v>
      </c>
      <c r="F9" s="40">
        <v>56</v>
      </c>
      <c r="G9" s="40" t="s">
        <v>12</v>
      </c>
      <c r="H9" s="40" t="s">
        <v>499</v>
      </c>
      <c r="I9" s="40" t="s">
        <v>506</v>
      </c>
      <c r="J9" s="67" t="s">
        <v>13</v>
      </c>
      <c r="K9" s="40"/>
      <c r="L9" s="40"/>
      <c r="M9" s="42"/>
      <c r="N9" s="42"/>
    </row>
    <row r="10" spans="1:16" x14ac:dyDescent="0.25">
      <c r="A10" s="40" t="s">
        <v>396</v>
      </c>
      <c r="B10" s="1" t="s">
        <v>397</v>
      </c>
      <c r="C10" s="41">
        <v>45356</v>
      </c>
      <c r="D10" s="41">
        <v>45362</v>
      </c>
      <c r="E10" s="52">
        <f t="shared" si="0"/>
        <v>7</v>
      </c>
      <c r="F10" s="40">
        <v>62</v>
      </c>
      <c r="G10" s="40" t="s">
        <v>12</v>
      </c>
      <c r="H10" s="40" t="s">
        <v>398</v>
      </c>
      <c r="I10" s="75" t="s">
        <v>399</v>
      </c>
      <c r="J10" s="71" t="s">
        <v>45</v>
      </c>
      <c r="K10" s="66"/>
      <c r="L10" s="40"/>
      <c r="M10" s="42"/>
      <c r="N10" s="42"/>
    </row>
    <row r="11" spans="1:16" x14ac:dyDescent="0.25">
      <c r="A11" s="40" t="s">
        <v>432</v>
      </c>
      <c r="B11" s="40" t="s">
        <v>433</v>
      </c>
      <c r="C11" s="41">
        <v>45357</v>
      </c>
      <c r="D11" s="41">
        <v>45370</v>
      </c>
      <c r="E11" s="52">
        <f t="shared" si="0"/>
        <v>14</v>
      </c>
      <c r="F11" s="40">
        <v>19</v>
      </c>
      <c r="G11" s="40" t="s">
        <v>12</v>
      </c>
      <c r="H11" s="40" t="s">
        <v>434</v>
      </c>
      <c r="I11" s="40" t="s">
        <v>20</v>
      </c>
      <c r="J11" s="40"/>
      <c r="K11" s="40"/>
      <c r="L11" s="40"/>
      <c r="M11" s="42"/>
      <c r="N11" s="42"/>
    </row>
    <row r="12" spans="1:16" s="21" customFormat="1" x14ac:dyDescent="0.25">
      <c r="A12" s="40" t="s">
        <v>419</v>
      </c>
      <c r="B12" s="40" t="s">
        <v>420</v>
      </c>
      <c r="C12" s="41">
        <v>45358</v>
      </c>
      <c r="D12" s="41">
        <v>45366</v>
      </c>
      <c r="E12" s="52">
        <f t="shared" si="0"/>
        <v>9</v>
      </c>
      <c r="F12" s="40">
        <v>66</v>
      </c>
      <c r="G12" s="40" t="s">
        <v>14</v>
      </c>
      <c r="H12" s="40" t="s">
        <v>421</v>
      </c>
      <c r="I12" s="40" t="s">
        <v>422</v>
      </c>
      <c r="J12" s="40"/>
      <c r="K12" s="40"/>
      <c r="L12" s="40"/>
      <c r="M12" s="42"/>
      <c r="N12" s="42"/>
    </row>
    <row r="13" spans="1:16" x14ac:dyDescent="0.25">
      <c r="A13" s="40" t="s">
        <v>400</v>
      </c>
      <c r="B13" s="40" t="s">
        <v>401</v>
      </c>
      <c r="C13" s="41">
        <v>45358</v>
      </c>
      <c r="D13" s="48">
        <v>45362</v>
      </c>
      <c r="E13" s="52">
        <f t="shared" si="0"/>
        <v>5</v>
      </c>
      <c r="F13" s="40">
        <v>49</v>
      </c>
      <c r="G13" s="40" t="s">
        <v>14</v>
      </c>
      <c r="H13" s="40" t="s">
        <v>402</v>
      </c>
      <c r="I13" s="40" t="s">
        <v>403</v>
      </c>
      <c r="J13" s="67" t="s">
        <v>13</v>
      </c>
      <c r="K13" s="40"/>
      <c r="L13" s="40"/>
      <c r="M13" s="42"/>
      <c r="N13" s="42"/>
    </row>
    <row r="14" spans="1:16" x14ac:dyDescent="0.25">
      <c r="A14" s="40" t="s">
        <v>451</v>
      </c>
      <c r="B14" s="40" t="s">
        <v>452</v>
      </c>
      <c r="C14" s="41">
        <v>45358</v>
      </c>
      <c r="D14" s="48">
        <v>45375</v>
      </c>
      <c r="E14" s="52">
        <f t="shared" si="0"/>
        <v>18</v>
      </c>
      <c r="F14" s="40">
        <v>20</v>
      </c>
      <c r="G14" s="40" t="s">
        <v>14</v>
      </c>
      <c r="H14" s="40" t="s">
        <v>453</v>
      </c>
      <c r="I14" s="40" t="s">
        <v>454</v>
      </c>
      <c r="J14" s="67" t="s">
        <v>13</v>
      </c>
      <c r="K14" s="40"/>
      <c r="L14" s="40"/>
      <c r="M14" s="42"/>
      <c r="N14" s="42"/>
    </row>
    <row r="15" spans="1:16" x14ac:dyDescent="0.25">
      <c r="A15" s="40" t="s">
        <v>443</v>
      </c>
      <c r="B15" s="40" t="s">
        <v>444</v>
      </c>
      <c r="C15" s="41">
        <v>45358</v>
      </c>
      <c r="D15" s="41">
        <v>45370</v>
      </c>
      <c r="E15" s="52">
        <f t="shared" si="0"/>
        <v>13</v>
      </c>
      <c r="F15" s="40">
        <v>33</v>
      </c>
      <c r="G15" s="40" t="s">
        <v>12</v>
      </c>
      <c r="H15" s="40" t="s">
        <v>445</v>
      </c>
      <c r="I15" s="40" t="s">
        <v>446</v>
      </c>
      <c r="J15" s="40"/>
      <c r="K15" s="40"/>
      <c r="L15" s="40"/>
      <c r="M15" s="42"/>
      <c r="N15" s="42"/>
    </row>
    <row r="16" spans="1:16" x14ac:dyDescent="0.25">
      <c r="A16" s="40"/>
      <c r="B16" s="40"/>
      <c r="C16" s="41"/>
      <c r="D16" s="48"/>
      <c r="E16" s="52">
        <f t="shared" si="0"/>
        <v>1</v>
      </c>
      <c r="F16" s="40"/>
      <c r="G16" s="40"/>
      <c r="H16" s="40"/>
      <c r="I16" s="71"/>
      <c r="J16" s="67"/>
      <c r="K16" s="40"/>
      <c r="L16" s="40"/>
      <c r="M16" s="42"/>
      <c r="N16" s="42"/>
      <c r="P16" s="17"/>
    </row>
    <row r="17" spans="1:14" x14ac:dyDescent="0.25">
      <c r="A17" s="40" t="s">
        <v>404</v>
      </c>
      <c r="B17" s="40" t="s">
        <v>405</v>
      </c>
      <c r="C17" s="41">
        <v>45360</v>
      </c>
      <c r="D17" s="48">
        <v>45360</v>
      </c>
      <c r="E17" s="52">
        <f t="shared" si="0"/>
        <v>1</v>
      </c>
      <c r="F17" s="40">
        <v>40</v>
      </c>
      <c r="G17" s="40" t="s">
        <v>14</v>
      </c>
      <c r="H17" s="40" t="s">
        <v>406</v>
      </c>
      <c r="I17" s="40" t="s">
        <v>46</v>
      </c>
      <c r="J17" s="67" t="s">
        <v>13</v>
      </c>
      <c r="K17" s="40"/>
      <c r="L17" s="40"/>
      <c r="M17" s="42"/>
      <c r="N17" s="42"/>
    </row>
    <row r="18" spans="1:14" x14ac:dyDescent="0.25">
      <c r="A18" s="40" t="s">
        <v>447</v>
      </c>
      <c r="B18" s="40" t="s">
        <v>448</v>
      </c>
      <c r="C18" s="41">
        <v>45362</v>
      </c>
      <c r="D18" s="48">
        <v>45368</v>
      </c>
      <c r="E18" s="52">
        <f t="shared" si="0"/>
        <v>7</v>
      </c>
      <c r="F18" s="40">
        <v>18</v>
      </c>
      <c r="G18" s="40" t="s">
        <v>12</v>
      </c>
      <c r="H18" s="40" t="s">
        <v>450</v>
      </c>
      <c r="I18" s="40" t="s">
        <v>449</v>
      </c>
      <c r="J18" s="67" t="s">
        <v>13</v>
      </c>
      <c r="K18" s="40"/>
      <c r="L18" s="40"/>
      <c r="M18" s="42"/>
      <c r="N18" s="42"/>
    </row>
    <row r="19" spans="1:14" x14ac:dyDescent="0.25">
      <c r="A19" s="40" t="s">
        <v>591</v>
      </c>
      <c r="B19" s="40" t="s">
        <v>592</v>
      </c>
      <c r="C19" s="41">
        <v>45362</v>
      </c>
      <c r="D19" s="74">
        <v>45381</v>
      </c>
      <c r="E19" s="52">
        <f t="shared" si="0"/>
        <v>20</v>
      </c>
      <c r="F19" s="40">
        <v>17</v>
      </c>
      <c r="G19" s="40" t="s">
        <v>14</v>
      </c>
      <c r="H19" s="40" t="s">
        <v>670</v>
      </c>
      <c r="I19" s="40" t="s">
        <v>671</v>
      </c>
      <c r="J19" s="71" t="s">
        <v>167</v>
      </c>
      <c r="K19" s="40"/>
      <c r="L19" s="40"/>
      <c r="M19" s="42"/>
      <c r="N19" s="42"/>
    </row>
    <row r="20" spans="1:14" x14ac:dyDescent="0.25">
      <c r="A20" s="40"/>
      <c r="B20" s="40"/>
      <c r="C20" s="41"/>
      <c r="D20" s="48"/>
      <c r="E20" s="52">
        <f t="shared" si="0"/>
        <v>1</v>
      </c>
      <c r="F20" s="40"/>
      <c r="G20" s="40"/>
      <c r="H20" s="40"/>
      <c r="I20" s="40"/>
      <c r="J20" s="67"/>
      <c r="K20" s="40"/>
      <c r="L20" s="40"/>
      <c r="M20" s="42"/>
      <c r="N20" s="42"/>
    </row>
    <row r="21" spans="1:14" s="19" customFormat="1" x14ac:dyDescent="0.25">
      <c r="A21" s="40" t="s">
        <v>530</v>
      </c>
      <c r="B21" s="40" t="s">
        <v>531</v>
      </c>
      <c r="C21" s="41">
        <v>45363</v>
      </c>
      <c r="D21" s="41">
        <v>45373</v>
      </c>
      <c r="E21" s="52">
        <f t="shared" si="0"/>
        <v>11</v>
      </c>
      <c r="F21" s="40">
        <v>20</v>
      </c>
      <c r="G21" s="40" t="s">
        <v>14</v>
      </c>
      <c r="H21" s="40" t="s">
        <v>532</v>
      </c>
      <c r="I21" s="75" t="s">
        <v>533</v>
      </c>
      <c r="J21" s="40"/>
      <c r="K21" s="40"/>
      <c r="L21" s="40"/>
      <c r="M21" s="42"/>
      <c r="N21" s="42"/>
    </row>
    <row r="22" spans="1:14" s="56" customFormat="1" x14ac:dyDescent="0.25">
      <c r="A22" s="53" t="s">
        <v>500</v>
      </c>
      <c r="B22" s="53" t="s">
        <v>369</v>
      </c>
      <c r="C22" s="54">
        <v>45365</v>
      </c>
      <c r="D22" s="54">
        <v>45384</v>
      </c>
      <c r="E22" s="55">
        <f t="shared" si="0"/>
        <v>20</v>
      </c>
      <c r="F22" s="53" t="s">
        <v>501</v>
      </c>
      <c r="G22" s="53" t="s">
        <v>12</v>
      </c>
      <c r="H22" s="53" t="s">
        <v>502</v>
      </c>
      <c r="I22" s="58" t="s">
        <v>145</v>
      </c>
      <c r="J22" s="53"/>
      <c r="K22" s="53"/>
      <c r="L22" s="53"/>
    </row>
    <row r="23" spans="1:14" x14ac:dyDescent="0.25">
      <c r="A23" s="40" t="s">
        <v>463</v>
      </c>
      <c r="B23" s="40" t="s">
        <v>33</v>
      </c>
      <c r="C23" s="41">
        <v>45365</v>
      </c>
      <c r="D23" s="41">
        <v>45378</v>
      </c>
      <c r="E23" s="52">
        <f t="shared" si="0"/>
        <v>14</v>
      </c>
      <c r="F23" s="40">
        <v>58</v>
      </c>
      <c r="G23" s="40" t="s">
        <v>12</v>
      </c>
      <c r="H23" s="40" t="s">
        <v>464</v>
      </c>
      <c r="I23" s="40" t="s">
        <v>465</v>
      </c>
      <c r="J23" s="40"/>
      <c r="K23" s="40"/>
      <c r="L23" s="40"/>
      <c r="M23" s="42"/>
      <c r="N23" s="42"/>
    </row>
    <row r="24" spans="1:14" x14ac:dyDescent="0.25">
      <c r="A24" s="40" t="s">
        <v>480</v>
      </c>
      <c r="B24" s="40" t="s">
        <v>481</v>
      </c>
      <c r="C24" s="41">
        <v>45366</v>
      </c>
      <c r="D24" s="41">
        <v>45373</v>
      </c>
      <c r="E24" s="52">
        <f t="shared" si="0"/>
        <v>8</v>
      </c>
      <c r="F24" s="40">
        <v>30</v>
      </c>
      <c r="G24" s="40" t="s">
        <v>12</v>
      </c>
      <c r="H24" s="40" t="s">
        <v>482</v>
      </c>
      <c r="I24" s="40" t="s">
        <v>25</v>
      </c>
      <c r="J24" s="40"/>
      <c r="K24" s="40"/>
      <c r="L24" s="40"/>
      <c r="M24" s="42"/>
      <c r="N24" s="42"/>
    </row>
    <row r="25" spans="1:14" s="19" customFormat="1" x14ac:dyDescent="0.25">
      <c r="A25" s="40" t="s">
        <v>455</v>
      </c>
      <c r="B25" s="40" t="s">
        <v>456</v>
      </c>
      <c r="C25" s="41">
        <v>45369</v>
      </c>
      <c r="D25" s="48">
        <v>45370</v>
      </c>
      <c r="E25" s="52">
        <f t="shared" si="0"/>
        <v>2</v>
      </c>
      <c r="F25" s="40">
        <v>31</v>
      </c>
      <c r="G25" s="40" t="s">
        <v>14</v>
      </c>
      <c r="H25" s="40" t="s">
        <v>457</v>
      </c>
      <c r="I25" s="75" t="s">
        <v>458</v>
      </c>
      <c r="J25" s="67" t="s">
        <v>13</v>
      </c>
      <c r="K25" s="40"/>
      <c r="L25" s="40"/>
      <c r="M25" s="42"/>
      <c r="N25" s="42"/>
    </row>
    <row r="26" spans="1:14" s="56" customFormat="1" x14ac:dyDescent="0.25">
      <c r="A26" s="53" t="s">
        <v>483</v>
      </c>
      <c r="B26" s="53" t="s">
        <v>484</v>
      </c>
      <c r="C26" s="54">
        <v>45369</v>
      </c>
      <c r="D26" s="54">
        <v>45379</v>
      </c>
      <c r="E26" s="55">
        <f t="shared" si="0"/>
        <v>11</v>
      </c>
      <c r="F26" s="53">
        <v>60</v>
      </c>
      <c r="G26" s="53" t="s">
        <v>12</v>
      </c>
      <c r="H26" s="53" t="s">
        <v>485</v>
      </c>
      <c r="I26" s="58" t="s">
        <v>145</v>
      </c>
      <c r="J26" s="53"/>
      <c r="K26" s="53"/>
      <c r="L26" s="53"/>
    </row>
    <row r="27" spans="1:14" x14ac:dyDescent="0.25">
      <c r="A27" s="40" t="s">
        <v>524</v>
      </c>
      <c r="B27" s="40" t="s">
        <v>525</v>
      </c>
      <c r="C27" s="41">
        <v>45369</v>
      </c>
      <c r="D27" s="41">
        <v>45384</v>
      </c>
      <c r="E27" s="52">
        <f t="shared" si="0"/>
        <v>16</v>
      </c>
      <c r="F27" s="40">
        <v>39</v>
      </c>
      <c r="G27" s="40" t="s">
        <v>12</v>
      </c>
      <c r="H27" s="40" t="s">
        <v>526</v>
      </c>
      <c r="I27" s="40" t="s">
        <v>527</v>
      </c>
      <c r="J27" s="40"/>
      <c r="K27" s="40"/>
      <c r="L27" s="40"/>
      <c r="M27" s="42"/>
      <c r="N27" s="42"/>
    </row>
    <row r="28" spans="1:14" x14ac:dyDescent="0.25">
      <c r="A28" s="40" t="s">
        <v>428</v>
      </c>
      <c r="B28" s="40" t="s">
        <v>429</v>
      </c>
      <c r="C28" s="41">
        <v>45370</v>
      </c>
      <c r="D28" s="41">
        <v>45372</v>
      </c>
      <c r="E28" s="52">
        <f t="shared" si="0"/>
        <v>3</v>
      </c>
      <c r="F28" s="40">
        <v>92</v>
      </c>
      <c r="G28" s="40" t="s">
        <v>14</v>
      </c>
      <c r="H28" s="40" t="s">
        <v>430</v>
      </c>
      <c r="I28" s="40" t="s">
        <v>431</v>
      </c>
      <c r="J28" s="40"/>
      <c r="K28" s="40"/>
      <c r="L28" s="40"/>
      <c r="M28" s="42"/>
      <c r="N28" s="42"/>
    </row>
    <row r="29" spans="1:14" s="56" customFormat="1" x14ac:dyDescent="0.25">
      <c r="A29" s="53" t="s">
        <v>477</v>
      </c>
      <c r="B29" s="53" t="s">
        <v>31</v>
      </c>
      <c r="C29" s="54">
        <v>45370</v>
      </c>
      <c r="D29" s="54">
        <v>45380</v>
      </c>
      <c r="E29" s="55">
        <f t="shared" si="0"/>
        <v>11</v>
      </c>
      <c r="F29" s="53">
        <v>56</v>
      </c>
      <c r="G29" s="53" t="s">
        <v>12</v>
      </c>
      <c r="H29" s="53" t="s">
        <v>478</v>
      </c>
      <c r="I29" s="58" t="s">
        <v>479</v>
      </c>
      <c r="J29" s="53"/>
      <c r="K29" s="53"/>
      <c r="L29" s="53"/>
    </row>
    <row r="30" spans="1:14" x14ac:dyDescent="0.25">
      <c r="A30" s="40"/>
      <c r="B30" s="40"/>
      <c r="C30" s="41"/>
      <c r="D30" s="41"/>
      <c r="E30" s="52">
        <f t="shared" si="0"/>
        <v>1</v>
      </c>
      <c r="F30" s="40"/>
      <c r="G30" s="40"/>
      <c r="H30" s="40"/>
      <c r="I30" s="71"/>
      <c r="J30" s="66"/>
      <c r="K30" s="40"/>
      <c r="L30" s="40"/>
      <c r="M30" s="42"/>
      <c r="N30" s="42"/>
    </row>
    <row r="31" spans="1:14" s="19" customFormat="1" x14ac:dyDescent="0.25">
      <c r="A31" s="40" t="s">
        <v>515</v>
      </c>
      <c r="B31" s="40" t="s">
        <v>516</v>
      </c>
      <c r="C31" s="41">
        <v>45371</v>
      </c>
      <c r="D31" s="41">
        <v>45380</v>
      </c>
      <c r="E31" s="52">
        <f t="shared" si="0"/>
        <v>10</v>
      </c>
      <c r="F31" s="40">
        <v>17</v>
      </c>
      <c r="G31" s="40" t="s">
        <v>14</v>
      </c>
      <c r="H31" s="40" t="s">
        <v>517</v>
      </c>
      <c r="I31" s="75" t="s">
        <v>518</v>
      </c>
      <c r="J31" s="40"/>
      <c r="K31" s="40"/>
      <c r="L31" s="40"/>
      <c r="M31" s="42"/>
      <c r="N31" s="42"/>
    </row>
    <row r="32" spans="1:14" s="56" customFormat="1" x14ac:dyDescent="0.25">
      <c r="A32" s="53" t="s">
        <v>459</v>
      </c>
      <c r="B32" s="53" t="s">
        <v>460</v>
      </c>
      <c r="C32" s="54">
        <v>45371</v>
      </c>
      <c r="D32" s="54">
        <v>45379</v>
      </c>
      <c r="E32" s="55">
        <f t="shared" si="0"/>
        <v>9</v>
      </c>
      <c r="F32" s="53">
        <v>13</v>
      </c>
      <c r="G32" s="53" t="s">
        <v>12</v>
      </c>
      <c r="H32" s="53" t="s">
        <v>461</v>
      </c>
      <c r="I32" s="58" t="s">
        <v>462</v>
      </c>
      <c r="J32" s="81"/>
      <c r="K32" s="53"/>
      <c r="L32" s="53"/>
    </row>
    <row r="33" spans="1:14" x14ac:dyDescent="0.25">
      <c r="A33" s="40" t="s">
        <v>470</v>
      </c>
      <c r="B33" s="40" t="s">
        <v>471</v>
      </c>
      <c r="C33" s="41">
        <v>45372</v>
      </c>
      <c r="D33" s="41">
        <v>45378</v>
      </c>
      <c r="E33" s="52">
        <f t="shared" si="0"/>
        <v>7</v>
      </c>
      <c r="F33" s="40">
        <v>49</v>
      </c>
      <c r="G33" s="40" t="s">
        <v>12</v>
      </c>
      <c r="H33" s="40" t="s">
        <v>472</v>
      </c>
      <c r="I33" s="40" t="s">
        <v>473</v>
      </c>
      <c r="J33" s="40"/>
      <c r="K33" s="40"/>
      <c r="L33" s="40"/>
      <c r="M33" s="42"/>
      <c r="N33" s="42"/>
    </row>
    <row r="34" spans="1:14" x14ac:dyDescent="0.25">
      <c r="A34" s="40" t="s">
        <v>507</v>
      </c>
      <c r="B34" s="40" t="s">
        <v>508</v>
      </c>
      <c r="C34" s="41">
        <v>45372</v>
      </c>
      <c r="D34" s="41">
        <v>45379</v>
      </c>
      <c r="E34" s="52">
        <f t="shared" si="0"/>
        <v>8</v>
      </c>
      <c r="F34" s="40">
        <v>34</v>
      </c>
      <c r="G34" s="40" t="s">
        <v>14</v>
      </c>
      <c r="H34" s="40" t="s">
        <v>509</v>
      </c>
      <c r="I34" s="40" t="s">
        <v>510</v>
      </c>
      <c r="J34" s="40"/>
      <c r="K34" s="40"/>
      <c r="L34" s="40"/>
      <c r="M34" s="42"/>
      <c r="N34" s="42"/>
    </row>
    <row r="35" spans="1:14" x14ac:dyDescent="0.25">
      <c r="A35" s="40" t="s">
        <v>540</v>
      </c>
      <c r="B35" s="40" t="s">
        <v>541</v>
      </c>
      <c r="C35" s="41">
        <v>45373</v>
      </c>
      <c r="D35" s="48">
        <v>45386</v>
      </c>
      <c r="E35" s="52">
        <f t="shared" si="0"/>
        <v>14</v>
      </c>
      <c r="F35" s="40">
        <v>24</v>
      </c>
      <c r="G35" s="40" t="s">
        <v>12</v>
      </c>
      <c r="H35" s="40" t="s">
        <v>542</v>
      </c>
      <c r="I35" s="40" t="s">
        <v>20</v>
      </c>
      <c r="J35" s="67" t="s">
        <v>13</v>
      </c>
      <c r="K35" s="40"/>
      <c r="L35" s="40"/>
      <c r="M35" s="42"/>
      <c r="N35" s="42"/>
    </row>
    <row r="36" spans="1:14" x14ac:dyDescent="0.25">
      <c r="A36" s="40" t="s">
        <v>611</v>
      </c>
      <c r="B36" s="40" t="s">
        <v>612</v>
      </c>
      <c r="C36" s="41">
        <v>45373</v>
      </c>
      <c r="D36" s="41">
        <v>45397</v>
      </c>
      <c r="E36" s="52">
        <f t="shared" si="0"/>
        <v>25</v>
      </c>
      <c r="F36" s="40">
        <v>31</v>
      </c>
      <c r="G36" s="40" t="s">
        <v>12</v>
      </c>
      <c r="H36" s="40" t="s">
        <v>613</v>
      </c>
      <c r="I36" s="40" t="s">
        <v>21</v>
      </c>
      <c r="J36" s="40"/>
      <c r="K36" s="40"/>
      <c r="L36" s="40"/>
      <c r="M36" s="42"/>
      <c r="N36" s="42"/>
    </row>
    <row r="37" spans="1:14" x14ac:dyDescent="0.25">
      <c r="A37" s="40"/>
      <c r="B37" s="40"/>
      <c r="C37" s="41"/>
      <c r="D37" s="41"/>
      <c r="E37" s="52">
        <f t="shared" si="0"/>
        <v>1</v>
      </c>
      <c r="F37" s="40"/>
      <c r="G37" s="40"/>
      <c r="H37" s="40"/>
      <c r="I37" s="40"/>
      <c r="J37" s="40"/>
      <c r="K37" s="40"/>
      <c r="L37" s="40"/>
      <c r="M37" s="42"/>
      <c r="N37" s="42"/>
    </row>
    <row r="38" spans="1:14" x14ac:dyDescent="0.25">
      <c r="A38" s="40" t="s">
        <v>486</v>
      </c>
      <c r="B38" s="40" t="s">
        <v>487</v>
      </c>
      <c r="C38" s="41">
        <v>45373</v>
      </c>
      <c r="D38" s="74">
        <v>45379</v>
      </c>
      <c r="E38" s="52">
        <f t="shared" si="0"/>
        <v>7</v>
      </c>
      <c r="F38" s="40">
        <v>30</v>
      </c>
      <c r="G38" s="40" t="s">
        <v>12</v>
      </c>
      <c r="H38" s="40" t="s">
        <v>488</v>
      </c>
      <c r="I38" s="40" t="s">
        <v>489</v>
      </c>
      <c r="J38" s="67"/>
      <c r="K38" s="40"/>
      <c r="L38" s="40"/>
      <c r="M38" s="42"/>
      <c r="N38" s="42"/>
    </row>
    <row r="39" spans="1:14" x14ac:dyDescent="0.25">
      <c r="A39" s="40" t="s">
        <v>528</v>
      </c>
      <c r="B39" s="40" t="s">
        <v>529</v>
      </c>
      <c r="C39" s="41">
        <v>45374</v>
      </c>
      <c r="D39" s="74">
        <v>45384</v>
      </c>
      <c r="E39" s="52">
        <f t="shared" si="0"/>
        <v>11</v>
      </c>
      <c r="F39" s="40">
        <v>35</v>
      </c>
      <c r="G39" s="40" t="s">
        <v>12</v>
      </c>
      <c r="H39" s="40" t="s">
        <v>534</v>
      </c>
      <c r="I39" s="40" t="s">
        <v>535</v>
      </c>
      <c r="J39" s="67"/>
      <c r="K39" s="40"/>
      <c r="L39" s="40"/>
      <c r="M39" s="42"/>
      <c r="N39" s="42"/>
    </row>
    <row r="40" spans="1:14" x14ac:dyDescent="0.25">
      <c r="A40" s="40" t="s">
        <v>536</v>
      </c>
      <c r="B40" s="40" t="s">
        <v>537</v>
      </c>
      <c r="C40" s="41">
        <v>45376</v>
      </c>
      <c r="D40" s="74">
        <v>45385</v>
      </c>
      <c r="E40" s="52">
        <f t="shared" si="0"/>
        <v>10</v>
      </c>
      <c r="F40" s="40">
        <v>32</v>
      </c>
      <c r="G40" s="40" t="s">
        <v>12</v>
      </c>
      <c r="H40" s="40" t="s">
        <v>538</v>
      </c>
      <c r="I40" s="40" t="s">
        <v>539</v>
      </c>
      <c r="J40" s="67"/>
      <c r="K40" s="40"/>
      <c r="L40" s="40"/>
      <c r="M40" s="42"/>
      <c r="N40" s="42"/>
    </row>
    <row r="41" spans="1:14" s="56" customFormat="1" x14ac:dyDescent="0.25">
      <c r="A41" s="53" t="s">
        <v>494</v>
      </c>
      <c r="B41" s="53" t="s">
        <v>495</v>
      </c>
      <c r="C41" s="54">
        <v>45376</v>
      </c>
      <c r="D41" s="59">
        <v>45379</v>
      </c>
      <c r="E41" s="55">
        <f t="shared" si="0"/>
        <v>4</v>
      </c>
      <c r="F41" s="53">
        <v>57</v>
      </c>
      <c r="G41" s="53" t="s">
        <v>12</v>
      </c>
      <c r="H41" s="53" t="s">
        <v>496</v>
      </c>
      <c r="I41" s="58" t="s">
        <v>145</v>
      </c>
      <c r="J41" s="57" t="s">
        <v>13</v>
      </c>
      <c r="K41" s="53"/>
      <c r="L41" s="53"/>
    </row>
    <row r="42" spans="1:14" x14ac:dyDescent="0.25">
      <c r="A42" s="40"/>
      <c r="B42" s="40"/>
      <c r="C42" s="41"/>
      <c r="D42" s="48"/>
      <c r="E42" s="52">
        <f t="shared" si="0"/>
        <v>1</v>
      </c>
      <c r="F42" s="40"/>
      <c r="G42" s="40"/>
      <c r="H42" s="40"/>
      <c r="I42" s="40"/>
      <c r="J42" s="67"/>
      <c r="K42" s="40"/>
      <c r="L42" s="40"/>
      <c r="M42" s="42"/>
      <c r="N42" s="42"/>
    </row>
    <row r="43" spans="1:14" x14ac:dyDescent="0.25">
      <c r="A43" s="40" t="s">
        <v>466</v>
      </c>
      <c r="B43" s="40" t="s">
        <v>467</v>
      </c>
      <c r="C43" s="41">
        <v>45376</v>
      </c>
      <c r="D43" s="41">
        <v>45377</v>
      </c>
      <c r="E43" s="52">
        <f t="shared" si="0"/>
        <v>2</v>
      </c>
      <c r="F43" s="40">
        <v>67</v>
      </c>
      <c r="G43" s="40" t="s">
        <v>12</v>
      </c>
      <c r="H43" s="40" t="s">
        <v>468</v>
      </c>
      <c r="I43" s="75" t="s">
        <v>469</v>
      </c>
      <c r="J43" s="66"/>
      <c r="K43" s="40"/>
      <c r="L43" s="40"/>
      <c r="M43" s="42"/>
      <c r="N43" s="42"/>
    </row>
    <row r="44" spans="1:14" x14ac:dyDescent="0.25">
      <c r="A44" s="40" t="s">
        <v>603</v>
      </c>
      <c r="B44" s="40" t="s">
        <v>604</v>
      </c>
      <c r="C44" s="41">
        <v>45376</v>
      </c>
      <c r="D44" s="41">
        <v>45401</v>
      </c>
      <c r="E44" s="52">
        <f t="shared" si="0"/>
        <v>26</v>
      </c>
      <c r="F44" s="40">
        <v>44</v>
      </c>
      <c r="G44" s="40" t="s">
        <v>14</v>
      </c>
      <c r="H44" s="40" t="s">
        <v>605</v>
      </c>
      <c r="I44" s="75" t="s">
        <v>606</v>
      </c>
      <c r="J44" s="66"/>
      <c r="K44" s="40"/>
      <c r="L44" s="40"/>
      <c r="M44" s="42"/>
      <c r="N44" s="42"/>
    </row>
    <row r="45" spans="1:14" x14ac:dyDescent="0.25">
      <c r="A45" s="40" t="s">
        <v>718</v>
      </c>
      <c r="B45" s="40" t="s">
        <v>721</v>
      </c>
      <c r="C45" s="41">
        <v>45378</v>
      </c>
      <c r="D45" s="74">
        <v>45426</v>
      </c>
      <c r="E45" s="52">
        <f t="shared" si="0"/>
        <v>49</v>
      </c>
      <c r="F45" s="40">
        <v>74</v>
      </c>
      <c r="G45" s="40" t="s">
        <v>12</v>
      </c>
      <c r="H45" s="40" t="s">
        <v>719</v>
      </c>
      <c r="I45" s="40" t="s">
        <v>720</v>
      </c>
      <c r="J45" s="67"/>
      <c r="K45" s="40"/>
      <c r="L45" s="40"/>
      <c r="M45" s="42"/>
      <c r="N45" s="42"/>
    </row>
    <row r="46" spans="1:14" x14ac:dyDescent="0.25">
      <c r="A46" s="40" t="s">
        <v>647</v>
      </c>
      <c r="B46" s="40" t="s">
        <v>648</v>
      </c>
      <c r="C46" s="41">
        <v>45378</v>
      </c>
      <c r="D46" s="41">
        <v>45408</v>
      </c>
      <c r="E46" s="52">
        <f t="shared" si="0"/>
        <v>31</v>
      </c>
      <c r="F46" s="40">
        <v>50</v>
      </c>
      <c r="G46" s="40" t="s">
        <v>14</v>
      </c>
      <c r="H46" s="40" t="s">
        <v>649</v>
      </c>
      <c r="I46" s="40" t="s">
        <v>650</v>
      </c>
      <c r="J46" s="40">
        <v>10</v>
      </c>
      <c r="K46" s="40"/>
      <c r="L46" s="40"/>
      <c r="M46" s="42"/>
      <c r="N46" s="42"/>
    </row>
    <row r="47" spans="1:14" x14ac:dyDescent="0.25">
      <c r="A47" s="40" t="s">
        <v>474</v>
      </c>
      <c r="B47" s="40" t="s">
        <v>475</v>
      </c>
      <c r="C47" s="41">
        <v>45379</v>
      </c>
      <c r="D47" s="48">
        <v>45380</v>
      </c>
      <c r="E47" s="52">
        <f t="shared" si="0"/>
        <v>2</v>
      </c>
      <c r="F47" s="40">
        <v>26</v>
      </c>
      <c r="G47" s="40" t="s">
        <v>12</v>
      </c>
      <c r="H47" s="40" t="s">
        <v>476</v>
      </c>
      <c r="I47" s="40" t="s">
        <v>458</v>
      </c>
      <c r="J47" s="67" t="s">
        <v>13</v>
      </c>
      <c r="K47" s="40"/>
      <c r="L47" s="40"/>
      <c r="M47" s="42"/>
      <c r="N47" s="42"/>
    </row>
    <row r="48" spans="1:14" s="19" customFormat="1" x14ac:dyDescent="0.25">
      <c r="A48" s="40" t="s">
        <v>520</v>
      </c>
      <c r="B48" s="40" t="s">
        <v>521</v>
      </c>
      <c r="C48" s="41">
        <v>45380</v>
      </c>
      <c r="D48" s="48">
        <v>45390</v>
      </c>
      <c r="E48" s="52">
        <f t="shared" si="0"/>
        <v>11</v>
      </c>
      <c r="F48" s="40">
        <v>81</v>
      </c>
      <c r="G48" s="40" t="s">
        <v>14</v>
      </c>
      <c r="H48" s="40" t="s">
        <v>522</v>
      </c>
      <c r="I48" s="75" t="s">
        <v>523</v>
      </c>
      <c r="J48" s="82" t="s">
        <v>13</v>
      </c>
      <c r="K48" s="40"/>
      <c r="L48" s="40"/>
      <c r="M48" s="42"/>
      <c r="N48" s="42"/>
    </row>
    <row r="49" spans="1:17" s="19" customFormat="1" x14ac:dyDescent="0.25">
      <c r="A49" s="40" t="s">
        <v>991</v>
      </c>
      <c r="B49" s="40" t="s">
        <v>992</v>
      </c>
      <c r="C49" s="41">
        <v>45380</v>
      </c>
      <c r="D49" s="41">
        <v>45408</v>
      </c>
      <c r="E49" s="52">
        <f t="shared" si="0"/>
        <v>29</v>
      </c>
      <c r="F49" s="40">
        <v>40</v>
      </c>
      <c r="G49" s="40" t="s">
        <v>14</v>
      </c>
      <c r="H49" s="40" t="s">
        <v>993</v>
      </c>
      <c r="I49" s="40" t="s">
        <v>16</v>
      </c>
      <c r="J49" s="40"/>
      <c r="K49" s="40"/>
      <c r="L49" s="40"/>
      <c r="M49" s="42"/>
      <c r="N49" s="42"/>
    </row>
    <row r="50" spans="1:17" x14ac:dyDescent="0.25">
      <c r="A50" s="40" t="s">
        <v>490</v>
      </c>
      <c r="B50" s="40" t="s">
        <v>491</v>
      </c>
      <c r="C50" s="41">
        <v>45381</v>
      </c>
      <c r="D50" s="48">
        <v>45383</v>
      </c>
      <c r="E50" s="52">
        <f t="shared" si="0"/>
        <v>3</v>
      </c>
      <c r="F50" s="40">
        <v>58</v>
      </c>
      <c r="G50" s="40" t="s">
        <v>12</v>
      </c>
      <c r="H50" s="40" t="s">
        <v>492</v>
      </c>
      <c r="I50" s="40" t="s">
        <v>493</v>
      </c>
      <c r="J50" s="67" t="s">
        <v>13</v>
      </c>
      <c r="K50" s="40"/>
      <c r="L50" s="40"/>
      <c r="M50" s="42"/>
      <c r="N50" s="42"/>
    </row>
    <row r="51" spans="1:17" s="19" customFormat="1" x14ac:dyDescent="0.25">
      <c r="A51" s="40" t="s">
        <v>503</v>
      </c>
      <c r="B51" s="40" t="s">
        <v>504</v>
      </c>
      <c r="C51" s="41">
        <v>45379</v>
      </c>
      <c r="D51" s="41">
        <v>45385</v>
      </c>
      <c r="E51" s="52">
        <f t="shared" si="0"/>
        <v>7</v>
      </c>
      <c r="F51" s="40">
        <v>53</v>
      </c>
      <c r="G51" s="40" t="s">
        <v>14</v>
      </c>
      <c r="H51" s="40" t="s">
        <v>505</v>
      </c>
      <c r="I51" s="75" t="s">
        <v>519</v>
      </c>
      <c r="J51" s="71"/>
      <c r="K51" s="40"/>
      <c r="L51" s="40"/>
      <c r="M51" s="42"/>
      <c r="N51" s="42"/>
    </row>
    <row r="52" spans="1:17" s="19" customFormat="1" x14ac:dyDescent="0.25">
      <c r="A52" s="40"/>
      <c r="B52" s="40"/>
      <c r="C52" s="41"/>
      <c r="D52" s="48"/>
      <c r="E52" s="52">
        <f t="shared" si="0"/>
        <v>1</v>
      </c>
      <c r="F52" s="40"/>
      <c r="G52" s="40"/>
      <c r="H52" s="40"/>
      <c r="I52" s="71"/>
      <c r="J52" s="67"/>
      <c r="K52" s="67"/>
      <c r="L52" s="42"/>
      <c r="M52" s="42"/>
      <c r="N52" s="42"/>
    </row>
    <row r="53" spans="1:17" s="19" customFormat="1" ht="12.75" customHeight="1" x14ac:dyDescent="0.25">
      <c r="A53" s="40"/>
      <c r="B53" s="40"/>
      <c r="C53" s="41"/>
      <c r="D53" s="41"/>
      <c r="E53" s="52">
        <f t="shared" si="0"/>
        <v>1</v>
      </c>
      <c r="F53" s="40"/>
      <c r="G53" s="40"/>
      <c r="H53" s="40"/>
      <c r="I53" s="71"/>
      <c r="J53" s="40"/>
      <c r="K53" s="40"/>
      <c r="L53" s="40"/>
      <c r="M53" s="42"/>
      <c r="N53" s="42"/>
    </row>
    <row r="54" spans="1:17" x14ac:dyDescent="0.25">
      <c r="A54" s="40"/>
      <c r="B54" s="40"/>
      <c r="C54" s="41"/>
      <c r="D54" s="41"/>
      <c r="E54" s="52">
        <f t="shared" si="0"/>
        <v>1</v>
      </c>
      <c r="F54" s="40"/>
      <c r="G54" s="40"/>
      <c r="H54" s="40"/>
      <c r="I54" s="40"/>
      <c r="J54" s="40"/>
      <c r="K54" s="40"/>
      <c r="L54" s="40"/>
      <c r="M54" s="42"/>
      <c r="N54" s="42"/>
    </row>
    <row r="55" spans="1:17" x14ac:dyDescent="0.25">
      <c r="A55" s="40"/>
      <c r="B55" s="40"/>
      <c r="C55" s="41"/>
      <c r="D55" s="41"/>
      <c r="E55" s="52">
        <f t="shared" si="0"/>
        <v>1</v>
      </c>
      <c r="F55" s="40"/>
      <c r="G55" s="40"/>
      <c r="H55" s="40"/>
      <c r="I55" s="40"/>
      <c r="J55" s="66"/>
      <c r="K55" s="40"/>
      <c r="L55" s="40"/>
      <c r="M55" s="80"/>
      <c r="N55" s="42"/>
    </row>
    <row r="56" spans="1:17" x14ac:dyDescent="0.25">
      <c r="A56" s="40"/>
      <c r="B56" s="40"/>
      <c r="C56" s="41"/>
      <c r="D56" s="41"/>
      <c r="E56" s="52">
        <f t="shared" si="0"/>
        <v>1</v>
      </c>
      <c r="F56" s="40"/>
      <c r="G56" s="40"/>
      <c r="H56" s="40"/>
      <c r="I56" s="40"/>
      <c r="J56" s="40"/>
      <c r="K56" s="40"/>
      <c r="L56" s="66"/>
      <c r="M56" s="42"/>
      <c r="N56" s="42"/>
    </row>
    <row r="57" spans="1:17" x14ac:dyDescent="0.25">
      <c r="A57" s="40"/>
      <c r="B57" s="40"/>
      <c r="C57" s="41"/>
      <c r="D57" s="41"/>
      <c r="E57" s="52">
        <f t="shared" si="0"/>
        <v>1</v>
      </c>
      <c r="F57" s="40"/>
      <c r="G57" s="40"/>
      <c r="H57" s="40"/>
      <c r="I57" s="40"/>
      <c r="J57" s="66"/>
      <c r="K57" s="40"/>
      <c r="L57" s="40"/>
      <c r="M57" s="42"/>
      <c r="N57" s="42"/>
    </row>
    <row r="58" spans="1:17" x14ac:dyDescent="0.25">
      <c r="A58" s="40"/>
      <c r="B58" s="40"/>
      <c r="C58" s="41"/>
      <c r="D58" s="41"/>
      <c r="E58" s="52">
        <f t="shared" si="0"/>
        <v>1</v>
      </c>
      <c r="F58" s="40"/>
      <c r="G58" s="40"/>
      <c r="H58" s="40"/>
      <c r="I58" s="71"/>
      <c r="J58" s="66"/>
      <c r="K58" s="66"/>
      <c r="L58" s="40"/>
      <c r="M58" s="42"/>
      <c r="N58" s="42"/>
    </row>
    <row r="59" spans="1:17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40"/>
      <c r="K59" s="40"/>
      <c r="L59" s="40"/>
      <c r="M59" s="42"/>
      <c r="N59" s="42"/>
    </row>
    <row r="60" spans="1:17" x14ac:dyDescent="0.25">
      <c r="A60" s="40"/>
      <c r="B60" s="40"/>
      <c r="C60" s="41"/>
      <c r="D60" s="41"/>
      <c r="E60" s="52">
        <f t="shared" si="0"/>
        <v>1</v>
      </c>
      <c r="F60" s="40"/>
      <c r="G60" s="40"/>
      <c r="H60" s="40"/>
      <c r="I60" s="40"/>
      <c r="J60" s="40"/>
      <c r="K60" s="40"/>
      <c r="L60" s="40"/>
      <c r="M60" s="42"/>
      <c r="N60" s="42"/>
      <c r="Q60" t="s">
        <v>18</v>
      </c>
    </row>
    <row r="61" spans="1:17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40"/>
      <c r="L61" s="40"/>
      <c r="M61" s="42"/>
      <c r="N61" s="42"/>
    </row>
    <row r="62" spans="1:17" x14ac:dyDescent="0.25">
      <c r="A62" s="40"/>
      <c r="B62" s="40"/>
      <c r="C62" s="41"/>
      <c r="D62" s="41"/>
      <c r="E62" s="52">
        <f t="shared" si="0"/>
        <v>1</v>
      </c>
      <c r="F62" s="40"/>
      <c r="G62" s="40"/>
      <c r="H62" s="40"/>
      <c r="I62" s="40"/>
      <c r="J62" s="40"/>
      <c r="K62" s="40"/>
      <c r="L62" s="40"/>
      <c r="M62" s="42"/>
      <c r="N62" s="42"/>
    </row>
    <row r="63" spans="1:17" x14ac:dyDescent="0.25">
      <c r="A63" s="40"/>
      <c r="B63" s="40"/>
      <c r="C63" s="41"/>
      <c r="D63" s="41"/>
      <c r="E63" s="52">
        <f t="shared" si="0"/>
        <v>1</v>
      </c>
      <c r="F63" s="40"/>
      <c r="G63" s="40"/>
      <c r="H63" s="40"/>
      <c r="I63" s="40"/>
      <c r="J63" s="71"/>
      <c r="K63" s="40"/>
      <c r="L63" s="40"/>
      <c r="M63" s="42"/>
      <c r="N63" s="42"/>
    </row>
    <row r="64" spans="1:17" x14ac:dyDescent="0.25">
      <c r="A64" s="40"/>
      <c r="B64" s="40"/>
      <c r="C64" s="41"/>
      <c r="D64" s="41"/>
      <c r="E64" s="52">
        <f t="shared" si="0"/>
        <v>1</v>
      </c>
      <c r="F64" s="40"/>
      <c r="G64" s="40"/>
      <c r="H64" s="40"/>
      <c r="I64" s="40"/>
      <c r="J64" s="40"/>
      <c r="K64" s="40"/>
      <c r="L64" s="40"/>
      <c r="M64" s="42"/>
      <c r="N64" s="42"/>
    </row>
    <row r="65" spans="1:14" x14ac:dyDescent="0.25">
      <c r="A65" s="40"/>
      <c r="B65" s="40"/>
      <c r="C65" s="41"/>
      <c r="D65" s="48"/>
      <c r="E65" s="52">
        <f t="shared" si="0"/>
        <v>1</v>
      </c>
      <c r="F65" s="40"/>
      <c r="G65" s="40"/>
      <c r="H65" s="40"/>
      <c r="I65" s="40"/>
      <c r="J65" s="67"/>
      <c r="K65" s="40"/>
      <c r="L65" s="40"/>
      <c r="M65" s="42"/>
      <c r="N65" s="42"/>
    </row>
    <row r="66" spans="1:14" x14ac:dyDescent="0.25">
      <c r="A66" s="40"/>
      <c r="B66" s="40"/>
      <c r="C66" s="41"/>
      <c r="D66" s="41"/>
      <c r="E66" s="52">
        <f t="shared" ref="E66:E109" si="1">D66-C66+1</f>
        <v>1</v>
      </c>
      <c r="F66" s="40"/>
      <c r="G66" s="40"/>
      <c r="H66" s="40"/>
      <c r="I66" s="40"/>
      <c r="J66" s="40"/>
      <c r="K66" s="40"/>
      <c r="L66" s="40"/>
      <c r="M66" s="42"/>
      <c r="N66" s="42"/>
    </row>
    <row r="67" spans="1:14" x14ac:dyDescent="0.25">
      <c r="A67" s="40"/>
      <c r="B67" s="40"/>
      <c r="C67" s="41"/>
      <c r="D67" s="48"/>
      <c r="E67" s="52">
        <f t="shared" si="1"/>
        <v>1</v>
      </c>
      <c r="F67" s="40"/>
      <c r="G67" s="40"/>
      <c r="H67" s="40"/>
      <c r="I67" s="40"/>
      <c r="J67" s="67"/>
      <c r="K67" s="40"/>
      <c r="L67" s="40"/>
      <c r="M67" s="42"/>
      <c r="N67" s="42"/>
    </row>
    <row r="68" spans="1:14" x14ac:dyDescent="0.25">
      <c r="A68" s="40"/>
      <c r="B68" s="40"/>
      <c r="C68" s="41"/>
      <c r="D68" s="41"/>
      <c r="E68" s="52">
        <f t="shared" si="1"/>
        <v>1</v>
      </c>
      <c r="F68" s="40"/>
      <c r="G68" s="40"/>
      <c r="H68" s="40"/>
      <c r="I68" s="40"/>
      <c r="J68" s="40"/>
      <c r="K68" s="40"/>
      <c r="L68" s="40"/>
      <c r="M68" s="42"/>
      <c r="N68" s="42"/>
    </row>
    <row r="69" spans="1:14" x14ac:dyDescent="0.25">
      <c r="A69" s="40"/>
      <c r="B69" s="40"/>
      <c r="C69" s="40"/>
      <c r="D69" s="40"/>
      <c r="E69" s="52">
        <f t="shared" si="1"/>
        <v>1</v>
      </c>
      <c r="F69" s="40"/>
      <c r="G69" s="40"/>
      <c r="H69" s="40"/>
      <c r="I69" s="40"/>
      <c r="J69" s="40"/>
      <c r="K69" s="40"/>
      <c r="L69" s="40"/>
      <c r="M69" s="42"/>
      <c r="N69" s="42"/>
    </row>
    <row r="70" spans="1:14" x14ac:dyDescent="0.25">
      <c r="A70" s="40"/>
      <c r="B70" s="40"/>
      <c r="C70" s="40"/>
      <c r="D70" s="40"/>
      <c r="E70" s="52">
        <f t="shared" si="1"/>
        <v>1</v>
      </c>
      <c r="F70" s="40"/>
      <c r="G70" s="40"/>
      <c r="H70" s="40"/>
      <c r="I70" s="40"/>
      <c r="J70" s="40"/>
      <c r="K70" s="40"/>
      <c r="L70" s="40"/>
      <c r="M70" s="42"/>
      <c r="N70" s="42"/>
    </row>
    <row r="71" spans="1:14" x14ac:dyDescent="0.25">
      <c r="A71" s="40"/>
      <c r="B71" s="40"/>
      <c r="C71" s="40"/>
      <c r="D71" s="40"/>
      <c r="E71" s="52">
        <f t="shared" si="1"/>
        <v>1</v>
      </c>
      <c r="F71" s="40"/>
      <c r="G71" s="40"/>
      <c r="H71" s="40"/>
      <c r="I71" s="40"/>
      <c r="J71" s="40"/>
      <c r="K71" s="40"/>
      <c r="L71" s="40"/>
      <c r="M71" s="42"/>
      <c r="N71" s="42"/>
    </row>
    <row r="72" spans="1:14" x14ac:dyDescent="0.25">
      <c r="A72" s="40"/>
      <c r="B72" s="40"/>
      <c r="C72" s="40"/>
      <c r="D72" s="41"/>
      <c r="E72" s="52">
        <f t="shared" si="1"/>
        <v>1</v>
      </c>
      <c r="F72" s="40"/>
      <c r="G72" s="40"/>
      <c r="H72" s="40"/>
      <c r="I72" s="40"/>
      <c r="J72" s="40"/>
      <c r="K72" s="40"/>
      <c r="L72" s="40"/>
      <c r="M72" s="42"/>
      <c r="N72" s="42"/>
    </row>
    <row r="73" spans="1:14" x14ac:dyDescent="0.25">
      <c r="A73" s="40"/>
      <c r="B73" s="40"/>
      <c r="C73" s="40"/>
      <c r="D73" s="40"/>
      <c r="E73" s="52">
        <f t="shared" si="1"/>
        <v>1</v>
      </c>
      <c r="F73" s="40"/>
      <c r="G73" s="40"/>
      <c r="H73" s="40"/>
      <c r="I73" s="40"/>
      <c r="J73" s="40"/>
      <c r="K73" s="40"/>
      <c r="L73" s="40"/>
      <c r="M73" s="42"/>
      <c r="N73" s="42"/>
    </row>
    <row r="74" spans="1:14" x14ac:dyDescent="0.25">
      <c r="A74" s="40"/>
      <c r="B74" s="40"/>
      <c r="C74" s="40"/>
      <c r="D74" s="40"/>
      <c r="E74" s="52">
        <f t="shared" si="1"/>
        <v>1</v>
      </c>
      <c r="F74" s="40"/>
      <c r="G74" s="40"/>
      <c r="H74" s="40"/>
      <c r="I74" s="40"/>
      <c r="J74" s="40"/>
      <c r="K74" s="40"/>
      <c r="L74" s="40"/>
      <c r="M74" s="42"/>
      <c r="N74" s="42"/>
    </row>
    <row r="75" spans="1:14" x14ac:dyDescent="0.25">
      <c r="A75" s="40"/>
      <c r="B75" s="40"/>
      <c r="C75" s="40"/>
      <c r="D75" s="40"/>
      <c r="E75" s="52">
        <f t="shared" si="1"/>
        <v>1</v>
      </c>
      <c r="F75" s="40"/>
      <c r="G75" s="40"/>
      <c r="H75" s="40"/>
      <c r="I75" s="40"/>
      <c r="J75" s="40"/>
      <c r="K75" s="40"/>
      <c r="L75" s="40"/>
      <c r="M75" s="42"/>
      <c r="N75" s="42"/>
    </row>
    <row r="76" spans="1:14" x14ac:dyDescent="0.25">
      <c r="A76" s="40"/>
      <c r="B76" s="40"/>
      <c r="C76" s="40"/>
      <c r="D76" s="40"/>
      <c r="E76" s="52">
        <f t="shared" si="1"/>
        <v>1</v>
      </c>
      <c r="F76" s="40"/>
      <c r="G76" s="40"/>
      <c r="H76" s="40"/>
      <c r="I76" s="40"/>
      <c r="J76" s="40"/>
      <c r="K76" s="40"/>
      <c r="L76" s="40"/>
      <c r="M76" s="42"/>
      <c r="N76" s="42"/>
    </row>
    <row r="77" spans="1:14" x14ac:dyDescent="0.25">
      <c r="A77" s="40"/>
      <c r="B77" s="40"/>
      <c r="C77" s="40"/>
      <c r="D77" s="40"/>
      <c r="E77" s="52">
        <f t="shared" si="1"/>
        <v>1</v>
      </c>
      <c r="F77" s="40"/>
      <c r="G77" s="40"/>
      <c r="H77" s="40"/>
      <c r="I77" s="40"/>
      <c r="J77" s="40"/>
      <c r="K77" s="40"/>
      <c r="L77" s="40"/>
      <c r="M77" s="42"/>
      <c r="N77" s="42"/>
    </row>
    <row r="78" spans="1:14" x14ac:dyDescent="0.25">
      <c r="A78" s="40"/>
      <c r="B78" s="40"/>
      <c r="C78" s="40"/>
      <c r="D78" s="41"/>
      <c r="E78" s="52">
        <f t="shared" si="1"/>
        <v>1</v>
      </c>
      <c r="F78" s="40"/>
      <c r="G78" s="40"/>
      <c r="H78" s="40"/>
      <c r="I78" s="40"/>
      <c r="J78" s="40"/>
      <c r="K78" s="40"/>
      <c r="L78" s="40"/>
      <c r="M78" s="42"/>
      <c r="N78" s="42"/>
    </row>
    <row r="79" spans="1:14" x14ac:dyDescent="0.25">
      <c r="A79" s="40"/>
      <c r="B79" s="40"/>
      <c r="C79" s="40"/>
      <c r="D79" s="41"/>
      <c r="E79" s="52">
        <f t="shared" si="1"/>
        <v>1</v>
      </c>
      <c r="F79" s="40"/>
      <c r="G79" s="40"/>
      <c r="H79" s="40"/>
      <c r="I79" s="40"/>
      <c r="J79" s="40"/>
      <c r="K79" s="40"/>
      <c r="L79" s="40"/>
      <c r="M79" s="42"/>
      <c r="N79" s="42"/>
    </row>
    <row r="80" spans="1:14" x14ac:dyDescent="0.25">
      <c r="A80" s="40"/>
      <c r="B80" s="40"/>
      <c r="C80" s="40"/>
      <c r="D80" s="40"/>
      <c r="E80" s="52">
        <f t="shared" si="1"/>
        <v>1</v>
      </c>
      <c r="F80" s="40"/>
      <c r="G80" s="40"/>
      <c r="H80" s="40"/>
      <c r="I80" s="40"/>
      <c r="J80" s="40"/>
      <c r="K80" s="40"/>
      <c r="L80" s="40"/>
      <c r="M80" s="42"/>
      <c r="N80" s="42"/>
    </row>
    <row r="81" spans="1:14" x14ac:dyDescent="0.25">
      <c r="A81" s="40"/>
      <c r="B81" s="40"/>
      <c r="C81" s="40"/>
      <c r="D81" s="40"/>
      <c r="E81" s="52">
        <f t="shared" si="1"/>
        <v>1</v>
      </c>
      <c r="F81" s="40"/>
      <c r="G81" s="40"/>
      <c r="H81" s="40"/>
      <c r="I81" s="40"/>
      <c r="J81" s="40"/>
      <c r="K81" s="40"/>
      <c r="L81" s="40"/>
      <c r="M81" s="42"/>
      <c r="N81" s="42"/>
    </row>
    <row r="82" spans="1:14" x14ac:dyDescent="0.25">
      <c r="A82" s="40"/>
      <c r="B82" s="40"/>
      <c r="C82" s="40"/>
      <c r="D82" s="40"/>
      <c r="E82" s="52">
        <f t="shared" si="1"/>
        <v>1</v>
      </c>
      <c r="F82" s="40"/>
      <c r="G82" s="40"/>
      <c r="H82" s="40"/>
      <c r="I82" s="40"/>
      <c r="J82" s="40"/>
      <c r="K82" s="40"/>
      <c r="L82" s="40"/>
      <c r="M82" s="42"/>
      <c r="N82" s="42"/>
    </row>
    <row r="83" spans="1:14" x14ac:dyDescent="0.25">
      <c r="A83" s="40"/>
      <c r="B83" s="40"/>
      <c r="C83" s="40"/>
      <c r="D83" s="40"/>
      <c r="E83" s="52">
        <f t="shared" si="1"/>
        <v>1</v>
      </c>
      <c r="F83" s="40"/>
      <c r="G83" s="40"/>
      <c r="H83" s="40"/>
      <c r="I83" s="40"/>
      <c r="J83" s="40"/>
      <c r="K83" s="40"/>
      <c r="L83" s="40"/>
      <c r="M83" s="42"/>
      <c r="N83" s="42"/>
    </row>
    <row r="84" spans="1:14" x14ac:dyDescent="0.25">
      <c r="A84" s="40"/>
      <c r="B84" s="40"/>
      <c r="C84" s="40"/>
      <c r="D84" s="40"/>
      <c r="E84" s="52">
        <f t="shared" si="1"/>
        <v>1</v>
      </c>
      <c r="F84" s="40"/>
      <c r="G84" s="40"/>
      <c r="H84" s="40"/>
      <c r="I84" s="40"/>
      <c r="J84" s="40"/>
      <c r="K84" s="40"/>
      <c r="L84" s="40"/>
      <c r="M84" s="42"/>
      <c r="N84" s="42"/>
    </row>
    <row r="85" spans="1:14" x14ac:dyDescent="0.25">
      <c r="A85" s="40"/>
      <c r="B85" s="40"/>
      <c r="C85" s="40"/>
      <c r="D85" s="40"/>
      <c r="E85" s="52">
        <f t="shared" si="1"/>
        <v>1</v>
      </c>
      <c r="F85" s="40"/>
      <c r="G85" s="40"/>
      <c r="H85" s="40"/>
      <c r="I85" s="40"/>
      <c r="J85" s="40"/>
      <c r="K85" s="40"/>
      <c r="L85" s="40"/>
      <c r="M85" s="42"/>
      <c r="N85" s="42"/>
    </row>
    <row r="86" spans="1:14" x14ac:dyDescent="0.25">
      <c r="A86" s="40"/>
      <c r="B86" s="40"/>
      <c r="C86" s="40"/>
      <c r="D86" s="40"/>
      <c r="E86" s="52">
        <f t="shared" si="1"/>
        <v>1</v>
      </c>
      <c r="F86" s="40"/>
      <c r="G86" s="40"/>
      <c r="H86" s="40"/>
      <c r="I86" s="40"/>
      <c r="J86" s="40"/>
      <c r="K86" s="40"/>
      <c r="L86" s="40"/>
      <c r="M86" s="42"/>
      <c r="N86" s="42"/>
    </row>
    <row r="87" spans="1:14" x14ac:dyDescent="0.25">
      <c r="A87" s="40"/>
      <c r="B87" s="40"/>
      <c r="C87" s="40"/>
      <c r="D87" s="40"/>
      <c r="E87" s="52">
        <f t="shared" si="1"/>
        <v>1</v>
      </c>
      <c r="F87" s="40"/>
      <c r="G87" s="40"/>
      <c r="H87" s="40"/>
      <c r="I87" s="40"/>
      <c r="J87" s="40"/>
      <c r="K87" s="40"/>
      <c r="L87" s="40"/>
      <c r="M87" s="42"/>
      <c r="N87" s="42"/>
    </row>
    <row r="88" spans="1:14" x14ac:dyDescent="0.25">
      <c r="A88" s="40"/>
      <c r="B88" s="40"/>
      <c r="C88" s="40"/>
      <c r="D88" s="40"/>
      <c r="E88" s="52">
        <f t="shared" si="1"/>
        <v>1</v>
      </c>
      <c r="F88" s="40"/>
      <c r="G88" s="40"/>
      <c r="H88" s="40"/>
      <c r="I88" s="40"/>
      <c r="J88" s="40"/>
      <c r="K88" s="40"/>
      <c r="L88" s="40"/>
      <c r="M88" s="42"/>
      <c r="N88" s="42"/>
    </row>
    <row r="89" spans="1:14" x14ac:dyDescent="0.25">
      <c r="A89" s="40"/>
      <c r="B89" s="40"/>
      <c r="C89" s="40"/>
      <c r="D89" s="41"/>
      <c r="E89" s="52">
        <f t="shared" si="1"/>
        <v>1</v>
      </c>
      <c r="F89" s="40"/>
      <c r="G89" s="40"/>
      <c r="H89" s="40"/>
      <c r="I89" s="40"/>
      <c r="J89" s="40"/>
      <c r="K89" s="40"/>
      <c r="L89" s="40"/>
      <c r="M89" s="42"/>
      <c r="N89" s="42"/>
    </row>
    <row r="90" spans="1:14" x14ac:dyDescent="0.25">
      <c r="A90" s="40"/>
      <c r="B90" s="40"/>
      <c r="C90" s="40"/>
      <c r="D90" s="40"/>
      <c r="E90" s="52">
        <f t="shared" si="1"/>
        <v>1</v>
      </c>
      <c r="F90" s="40"/>
      <c r="G90" s="40"/>
      <c r="H90" s="40"/>
      <c r="I90" s="40"/>
      <c r="J90" s="40"/>
      <c r="K90" s="40"/>
      <c r="L90" s="40"/>
      <c r="M90" s="42"/>
      <c r="N90" s="42"/>
    </row>
    <row r="91" spans="1:14" x14ac:dyDescent="0.25">
      <c r="A91" s="40"/>
      <c r="B91" s="40"/>
      <c r="C91" s="40"/>
      <c r="D91" s="40"/>
      <c r="E91" s="52">
        <f t="shared" si="1"/>
        <v>1</v>
      </c>
      <c r="F91" s="40"/>
      <c r="G91" s="40"/>
      <c r="H91" s="40"/>
      <c r="I91" s="40"/>
      <c r="J91" s="40"/>
      <c r="K91" s="40"/>
      <c r="L91" s="40"/>
      <c r="M91" s="42"/>
      <c r="N91" s="42"/>
    </row>
    <row r="92" spans="1:14" x14ac:dyDescent="0.25">
      <c r="A92" s="40"/>
      <c r="B92" s="40"/>
      <c r="C92" s="40"/>
      <c r="D92" s="41"/>
      <c r="E92" s="52">
        <f t="shared" si="1"/>
        <v>1</v>
      </c>
      <c r="F92" s="40"/>
      <c r="G92" s="40"/>
      <c r="H92" s="40"/>
      <c r="I92" s="40"/>
      <c r="J92" s="40"/>
      <c r="K92" s="40"/>
      <c r="L92" s="40"/>
      <c r="M92" s="42"/>
      <c r="N92" s="42"/>
    </row>
    <row r="93" spans="1:14" x14ac:dyDescent="0.25">
      <c r="A93" s="40"/>
      <c r="B93" s="40"/>
      <c r="C93" s="40"/>
      <c r="D93" s="40"/>
      <c r="E93" s="52">
        <f t="shared" si="1"/>
        <v>1</v>
      </c>
      <c r="F93" s="40"/>
      <c r="G93" s="40"/>
      <c r="H93" s="40"/>
      <c r="I93" s="40"/>
      <c r="J93" s="40"/>
      <c r="K93" s="40"/>
      <c r="L93" s="40"/>
      <c r="M93" s="42"/>
      <c r="N93" s="42"/>
    </row>
    <row r="94" spans="1:14" x14ac:dyDescent="0.25">
      <c r="A94" s="40"/>
      <c r="B94" s="40"/>
      <c r="C94" s="40"/>
      <c r="D94" s="40"/>
      <c r="E94" s="52">
        <f t="shared" si="1"/>
        <v>1</v>
      </c>
      <c r="F94" s="40"/>
      <c r="G94" s="40"/>
      <c r="H94" s="40"/>
      <c r="I94" s="40"/>
      <c r="J94" s="40"/>
      <c r="K94" s="40"/>
      <c r="L94" s="40"/>
      <c r="M94" s="42"/>
      <c r="N94" s="42"/>
    </row>
    <row r="95" spans="1:14" x14ac:dyDescent="0.25">
      <c r="A95" s="40"/>
      <c r="B95" s="40"/>
      <c r="C95" s="40"/>
      <c r="D95" s="40"/>
      <c r="E95" s="52">
        <f t="shared" si="1"/>
        <v>1</v>
      </c>
      <c r="F95" s="40"/>
      <c r="G95" s="40"/>
      <c r="H95" s="40"/>
      <c r="I95" s="40"/>
      <c r="J95" s="40"/>
      <c r="K95" s="40"/>
      <c r="L95" s="40"/>
      <c r="M95" s="42"/>
      <c r="N95" s="42"/>
    </row>
    <row r="96" spans="1:14" x14ac:dyDescent="0.25">
      <c r="A96" s="1"/>
      <c r="B96" s="1"/>
      <c r="C96" s="1"/>
      <c r="D96" s="1"/>
      <c r="E96" s="52">
        <f t="shared" si="1"/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/>
      <c r="E97" s="52">
        <f t="shared" si="1"/>
        <v>1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52">
        <f t="shared" si="1"/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52">
        <f t="shared" si="1"/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52">
        <f t="shared" si="1"/>
        <v>1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52">
        <f t="shared" si="1"/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52">
        <f t="shared" si="1"/>
        <v>1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52">
        <f t="shared" si="1"/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52">
        <f t="shared" si="1"/>
        <v>1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52">
        <f t="shared" si="1"/>
        <v>1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52">
        <f t="shared" si="1"/>
        <v>1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52">
        <f t="shared" si="1"/>
        <v>1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52">
        <f t="shared" si="1"/>
        <v>1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52">
        <f t="shared" si="1"/>
        <v>1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topLeftCell="A34" zoomScale="110" zoomScaleNormal="110" workbookViewId="0">
      <selection activeCell="B27" sqref="B27"/>
    </sheetView>
  </sheetViews>
  <sheetFormatPr baseColWidth="10" defaultRowHeight="15" x14ac:dyDescent="0.25"/>
  <cols>
    <col min="1" max="1" width="15.140625" customWidth="1"/>
    <col min="2" max="2" width="25.7109375" customWidth="1"/>
    <col min="3" max="3" width="15" customWidth="1"/>
    <col min="4" max="4" width="12.5703125" customWidth="1"/>
    <col min="5" max="5" width="14.28515625" customWidth="1"/>
    <col min="6" max="6" width="5.7109375" customWidth="1"/>
    <col min="7" max="7" width="6.28515625" customWidth="1"/>
    <col min="8" max="8" width="22" customWidth="1"/>
    <col min="9" max="9" width="25" customWidth="1"/>
    <col min="10" max="10" width="13.85546875" customWidth="1"/>
  </cols>
  <sheetData>
    <row r="1" spans="1:12" ht="17.25" customHeight="1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2" s="56" customFormat="1" x14ac:dyDescent="0.25">
      <c r="A2" s="53" t="s">
        <v>579</v>
      </c>
      <c r="B2" s="53" t="s">
        <v>578</v>
      </c>
      <c r="C2" s="54">
        <v>45383</v>
      </c>
      <c r="D2" s="78">
        <v>45404</v>
      </c>
      <c r="E2" s="55">
        <f t="shared" ref="E2:E64" si="0">D2-C2+1</f>
        <v>22</v>
      </c>
      <c r="F2" s="53">
        <v>67</v>
      </c>
      <c r="G2" s="53" t="s">
        <v>12</v>
      </c>
      <c r="H2" s="53" t="s">
        <v>580</v>
      </c>
      <c r="I2" s="58" t="s">
        <v>145</v>
      </c>
      <c r="J2" s="57"/>
      <c r="K2" s="53"/>
      <c r="L2" s="53"/>
    </row>
    <row r="3" spans="1:12" s="19" customFormat="1" ht="15.75" x14ac:dyDescent="0.25">
      <c r="A3" s="40" t="s">
        <v>543</v>
      </c>
      <c r="B3" s="40" t="s">
        <v>544</v>
      </c>
      <c r="C3" s="41">
        <v>45383</v>
      </c>
      <c r="D3" s="48">
        <v>45390</v>
      </c>
      <c r="E3" s="52">
        <f t="shared" si="0"/>
        <v>8</v>
      </c>
      <c r="F3" s="40">
        <v>55</v>
      </c>
      <c r="G3" s="40" t="s">
        <v>12</v>
      </c>
      <c r="H3" s="40" t="s">
        <v>545</v>
      </c>
      <c r="I3" s="75" t="s">
        <v>546</v>
      </c>
      <c r="J3" s="83" t="s">
        <v>13</v>
      </c>
      <c r="K3" s="66"/>
      <c r="L3" s="40"/>
    </row>
    <row r="4" spans="1:12" s="56" customFormat="1" x14ac:dyDescent="0.25">
      <c r="A4" s="53" t="s">
        <v>553</v>
      </c>
      <c r="B4" s="53" t="s">
        <v>554</v>
      </c>
      <c r="C4" s="54">
        <v>45383</v>
      </c>
      <c r="D4" s="59">
        <v>45384</v>
      </c>
      <c r="E4" s="55">
        <f t="shared" si="0"/>
        <v>2</v>
      </c>
      <c r="F4" s="53">
        <v>70</v>
      </c>
      <c r="G4" s="53" t="s">
        <v>12</v>
      </c>
      <c r="H4" s="53" t="s">
        <v>555</v>
      </c>
      <c r="I4" s="58" t="s">
        <v>145</v>
      </c>
      <c r="J4" s="57" t="s">
        <v>13</v>
      </c>
      <c r="K4" s="53"/>
      <c r="L4" s="53"/>
    </row>
    <row r="5" spans="1:12" x14ac:dyDescent="0.25">
      <c r="A5" s="40" t="s">
        <v>547</v>
      </c>
      <c r="B5" s="40" t="s">
        <v>548</v>
      </c>
      <c r="C5" s="41">
        <v>45384</v>
      </c>
      <c r="D5" s="41">
        <v>45387</v>
      </c>
      <c r="E5" s="52">
        <f t="shared" si="0"/>
        <v>4</v>
      </c>
      <c r="F5" s="40">
        <v>61</v>
      </c>
      <c r="G5" s="40" t="s">
        <v>14</v>
      </c>
      <c r="H5" s="40" t="s">
        <v>331</v>
      </c>
      <c r="I5" s="75" t="s">
        <v>549</v>
      </c>
      <c r="J5" s="66"/>
      <c r="K5" s="66"/>
      <c r="L5" s="40"/>
    </row>
    <row r="6" spans="1:12" x14ac:dyDescent="0.25">
      <c r="A6" s="40" t="s">
        <v>556</v>
      </c>
      <c r="B6" s="40" t="s">
        <v>557</v>
      </c>
      <c r="C6" s="41">
        <v>45385</v>
      </c>
      <c r="D6" s="48">
        <v>45390</v>
      </c>
      <c r="E6" s="52">
        <f t="shared" si="0"/>
        <v>6</v>
      </c>
      <c r="F6" s="40">
        <v>40</v>
      </c>
      <c r="G6" s="40" t="s">
        <v>12</v>
      </c>
      <c r="H6" s="40" t="s">
        <v>558</v>
      </c>
      <c r="I6" s="40" t="s">
        <v>46</v>
      </c>
      <c r="J6" s="67" t="s">
        <v>13</v>
      </c>
      <c r="K6" s="40"/>
      <c r="L6" s="40"/>
    </row>
    <row r="7" spans="1:12" x14ac:dyDescent="0.25">
      <c r="A7" s="40" t="s">
        <v>819</v>
      </c>
      <c r="B7" s="40" t="s">
        <v>820</v>
      </c>
      <c r="C7" s="41">
        <v>45385</v>
      </c>
      <c r="D7" s="48">
        <v>45427</v>
      </c>
      <c r="E7" s="52">
        <f t="shared" si="0"/>
        <v>43</v>
      </c>
      <c r="F7" s="40">
        <v>62</v>
      </c>
      <c r="G7" s="40" t="s">
        <v>12</v>
      </c>
      <c r="H7" s="40" t="s">
        <v>821</v>
      </c>
      <c r="I7" s="40" t="s">
        <v>35</v>
      </c>
      <c r="J7" s="67" t="s">
        <v>13</v>
      </c>
      <c r="K7" s="40"/>
      <c r="L7" s="40"/>
    </row>
    <row r="8" spans="1:12" x14ac:dyDescent="0.25">
      <c r="A8" s="40" t="s">
        <v>687</v>
      </c>
      <c r="B8" s="40" t="s">
        <v>49</v>
      </c>
      <c r="C8" s="41">
        <v>45396</v>
      </c>
      <c r="D8" s="41">
        <v>45415</v>
      </c>
      <c r="E8" s="52">
        <f t="shared" si="0"/>
        <v>20</v>
      </c>
      <c r="F8" s="40">
        <v>40</v>
      </c>
      <c r="G8" s="40" t="s">
        <v>12</v>
      </c>
      <c r="H8" s="40" t="s">
        <v>688</v>
      </c>
      <c r="I8" s="40" t="s">
        <v>689</v>
      </c>
      <c r="J8" s="40"/>
      <c r="K8" s="40"/>
      <c r="L8" s="40"/>
    </row>
    <row r="9" spans="1:12" s="19" customFormat="1" x14ac:dyDescent="0.25">
      <c r="A9" s="40" t="s">
        <v>550</v>
      </c>
      <c r="B9" s="40" t="s">
        <v>551</v>
      </c>
      <c r="C9" s="41">
        <v>45387</v>
      </c>
      <c r="D9" s="48">
        <v>45392</v>
      </c>
      <c r="E9" s="52">
        <f t="shared" si="0"/>
        <v>6</v>
      </c>
      <c r="F9" s="40">
        <v>66</v>
      </c>
      <c r="G9" s="40" t="s">
        <v>12</v>
      </c>
      <c r="H9" s="40" t="s">
        <v>552</v>
      </c>
      <c r="I9" s="40" t="s">
        <v>46</v>
      </c>
      <c r="J9" s="67" t="s">
        <v>13</v>
      </c>
      <c r="K9" s="40"/>
      <c r="L9" s="40"/>
    </row>
    <row r="10" spans="1:12" x14ac:dyDescent="0.25">
      <c r="A10" s="40" t="s">
        <v>584</v>
      </c>
      <c r="B10" s="1" t="s">
        <v>585</v>
      </c>
      <c r="C10" s="41">
        <v>45387</v>
      </c>
      <c r="D10" s="48">
        <v>45389</v>
      </c>
      <c r="E10" s="52">
        <f t="shared" si="0"/>
        <v>3</v>
      </c>
      <c r="F10" s="40">
        <v>62</v>
      </c>
      <c r="G10" s="40" t="s">
        <v>14</v>
      </c>
      <c r="H10" s="40" t="s">
        <v>586</v>
      </c>
      <c r="I10" s="75" t="s">
        <v>587</v>
      </c>
      <c r="J10" s="67" t="s">
        <v>13</v>
      </c>
      <c r="K10" s="66"/>
      <c r="L10" s="40"/>
    </row>
    <row r="11" spans="1:12" s="19" customFormat="1" x14ac:dyDescent="0.25">
      <c r="A11" s="40" t="s">
        <v>735</v>
      </c>
      <c r="B11" s="40" t="s">
        <v>736</v>
      </c>
      <c r="C11" s="41">
        <v>45387</v>
      </c>
      <c r="D11" s="48">
        <v>45428</v>
      </c>
      <c r="E11" s="52">
        <f t="shared" si="0"/>
        <v>42</v>
      </c>
      <c r="F11" s="40">
        <v>58</v>
      </c>
      <c r="G11" s="40" t="s">
        <v>14</v>
      </c>
      <c r="H11" s="40" t="s">
        <v>737</v>
      </c>
      <c r="I11" s="40" t="s">
        <v>738</v>
      </c>
      <c r="J11" s="67" t="s">
        <v>13</v>
      </c>
      <c r="K11" s="40"/>
      <c r="L11" s="40"/>
    </row>
    <row r="12" spans="1:12" x14ac:dyDescent="0.25">
      <c r="A12" s="40" t="s">
        <v>614</v>
      </c>
      <c r="B12" s="40" t="s">
        <v>615</v>
      </c>
      <c r="C12" s="41">
        <v>45388</v>
      </c>
      <c r="D12" s="41">
        <v>45391</v>
      </c>
      <c r="E12" s="52">
        <f t="shared" si="0"/>
        <v>4</v>
      </c>
      <c r="F12" s="40">
        <v>64</v>
      </c>
      <c r="G12" s="40" t="s">
        <v>14</v>
      </c>
      <c r="H12" s="40" t="s">
        <v>616</v>
      </c>
      <c r="I12" s="40" t="s">
        <v>617</v>
      </c>
      <c r="J12" s="40"/>
      <c r="K12" s="40"/>
      <c r="L12" s="40"/>
    </row>
    <row r="13" spans="1:12" s="56" customFormat="1" x14ac:dyDescent="0.25">
      <c r="A13" s="53" t="s">
        <v>655</v>
      </c>
      <c r="B13" s="53" t="s">
        <v>48</v>
      </c>
      <c r="C13" s="54">
        <v>45388</v>
      </c>
      <c r="D13" s="78">
        <v>45411</v>
      </c>
      <c r="E13" s="55">
        <f t="shared" si="0"/>
        <v>24</v>
      </c>
      <c r="F13" s="53">
        <v>74</v>
      </c>
      <c r="G13" s="53" t="s">
        <v>12</v>
      </c>
      <c r="H13" s="53" t="s">
        <v>656</v>
      </c>
      <c r="I13" s="58" t="s">
        <v>145</v>
      </c>
      <c r="J13" s="57"/>
      <c r="K13" s="53"/>
      <c r="L13" s="53"/>
    </row>
    <row r="14" spans="1:12" x14ac:dyDescent="0.25">
      <c r="A14" s="40" t="s">
        <v>710</v>
      </c>
      <c r="B14" s="40" t="s">
        <v>711</v>
      </c>
      <c r="C14" s="41">
        <v>45389</v>
      </c>
      <c r="D14" s="48">
        <v>45420</v>
      </c>
      <c r="E14" s="52">
        <f t="shared" si="0"/>
        <v>32</v>
      </c>
      <c r="F14" s="40">
        <v>27</v>
      </c>
      <c r="G14" s="40" t="s">
        <v>14</v>
      </c>
      <c r="H14" s="40" t="s">
        <v>712</v>
      </c>
      <c r="I14" s="40" t="s">
        <v>35</v>
      </c>
      <c r="J14" s="67" t="s">
        <v>13</v>
      </c>
      <c r="K14" s="40"/>
      <c r="L14" s="40"/>
    </row>
    <row r="15" spans="1:12" x14ac:dyDescent="0.25">
      <c r="A15" s="40" t="s">
        <v>627</v>
      </c>
      <c r="B15" s="40" t="s">
        <v>628</v>
      </c>
      <c r="C15" s="41">
        <v>45390</v>
      </c>
      <c r="D15" s="48">
        <v>45395</v>
      </c>
      <c r="E15" s="52">
        <f t="shared" si="0"/>
        <v>6</v>
      </c>
      <c r="F15" s="40">
        <v>44</v>
      </c>
      <c r="G15" s="40" t="s">
        <v>14</v>
      </c>
      <c r="H15" s="40" t="s">
        <v>629</v>
      </c>
      <c r="I15" s="40" t="s">
        <v>16</v>
      </c>
      <c r="J15" s="67" t="s">
        <v>13</v>
      </c>
      <c r="K15" s="40"/>
      <c r="L15" s="40"/>
    </row>
    <row r="16" spans="1:12" x14ac:dyDescent="0.25">
      <c r="A16" s="40" t="s">
        <v>638</v>
      </c>
      <c r="B16" s="40" t="s">
        <v>639</v>
      </c>
      <c r="C16" s="41">
        <v>45391</v>
      </c>
      <c r="D16" s="48">
        <v>45394</v>
      </c>
      <c r="E16" s="52">
        <f t="shared" si="0"/>
        <v>4</v>
      </c>
      <c r="F16" s="40">
        <v>45</v>
      </c>
      <c r="G16" s="40" t="s">
        <v>14</v>
      </c>
      <c r="H16" s="40" t="s">
        <v>640</v>
      </c>
      <c r="I16" s="75" t="s">
        <v>641</v>
      </c>
      <c r="J16" s="67" t="s">
        <v>13</v>
      </c>
      <c r="K16" s="40"/>
      <c r="L16" s="40"/>
    </row>
    <row r="17" spans="1:12" x14ac:dyDescent="0.25">
      <c r="A17" s="40" t="s">
        <v>599</v>
      </c>
      <c r="B17" s="40" t="s">
        <v>600</v>
      </c>
      <c r="C17" s="41">
        <v>45391</v>
      </c>
      <c r="D17" s="74">
        <v>45400</v>
      </c>
      <c r="E17" s="52">
        <f t="shared" si="0"/>
        <v>10</v>
      </c>
      <c r="F17" s="40">
        <v>26</v>
      </c>
      <c r="G17" s="40" t="s">
        <v>14</v>
      </c>
      <c r="H17" s="40" t="s">
        <v>601</v>
      </c>
      <c r="I17" s="40" t="s">
        <v>602</v>
      </c>
      <c r="J17" s="67"/>
      <c r="K17" s="40"/>
      <c r="L17" s="40"/>
    </row>
    <row r="18" spans="1:12" x14ac:dyDescent="0.25">
      <c r="A18" s="40" t="s">
        <v>570</v>
      </c>
      <c r="B18" s="40" t="s">
        <v>571</v>
      </c>
      <c r="C18" s="41">
        <v>45391</v>
      </c>
      <c r="D18" s="48">
        <v>45405</v>
      </c>
      <c r="E18" s="52">
        <f t="shared" si="0"/>
        <v>15</v>
      </c>
      <c r="F18" s="40">
        <v>51</v>
      </c>
      <c r="G18" s="40" t="s">
        <v>12</v>
      </c>
      <c r="H18" s="40" t="s">
        <v>572</v>
      </c>
      <c r="I18" s="40" t="s">
        <v>573</v>
      </c>
      <c r="J18" s="67" t="s">
        <v>13</v>
      </c>
      <c r="K18" s="40"/>
      <c r="L18" s="40"/>
    </row>
    <row r="19" spans="1:12" x14ac:dyDescent="0.25">
      <c r="A19" s="40" t="s">
        <v>618</v>
      </c>
      <c r="B19" s="40" t="s">
        <v>619</v>
      </c>
      <c r="C19" s="41">
        <v>45391</v>
      </c>
      <c r="D19" s="48">
        <v>45395</v>
      </c>
      <c r="E19" s="52">
        <f t="shared" si="0"/>
        <v>5</v>
      </c>
      <c r="F19" s="40">
        <v>23</v>
      </c>
      <c r="G19" s="40" t="s">
        <v>12</v>
      </c>
      <c r="H19" s="40" t="s">
        <v>620</v>
      </c>
      <c r="I19" s="40" t="s">
        <v>621</v>
      </c>
      <c r="J19" s="67" t="s">
        <v>13</v>
      </c>
      <c r="K19" s="40"/>
      <c r="L19" s="40"/>
    </row>
    <row r="20" spans="1:12" s="19" customFormat="1" x14ac:dyDescent="0.25">
      <c r="A20" s="1" t="s">
        <v>690</v>
      </c>
      <c r="B20" s="1" t="s">
        <v>691</v>
      </c>
      <c r="C20" s="41">
        <v>45393</v>
      </c>
      <c r="D20" s="74">
        <v>45404</v>
      </c>
      <c r="E20" s="52">
        <f t="shared" si="0"/>
        <v>12</v>
      </c>
      <c r="F20" s="40">
        <v>56</v>
      </c>
      <c r="G20" s="40" t="s">
        <v>14</v>
      </c>
      <c r="H20" s="40" t="s">
        <v>692</v>
      </c>
      <c r="I20" s="40" t="s">
        <v>25</v>
      </c>
      <c r="J20" s="67"/>
      <c r="K20" s="40"/>
      <c r="L20" s="40"/>
    </row>
    <row r="21" spans="1:12" x14ac:dyDescent="0.25">
      <c r="A21" s="40" t="s">
        <v>634</v>
      </c>
      <c r="B21" s="40" t="s">
        <v>635</v>
      </c>
      <c r="C21" s="41">
        <v>45393</v>
      </c>
      <c r="D21" s="41">
        <v>45399</v>
      </c>
      <c r="E21" s="52">
        <f t="shared" si="0"/>
        <v>7</v>
      </c>
      <c r="F21" s="40">
        <v>27</v>
      </c>
      <c r="G21" s="40" t="s">
        <v>12</v>
      </c>
      <c r="H21" s="40" t="s">
        <v>636</v>
      </c>
      <c r="I21" s="75" t="s">
        <v>637</v>
      </c>
      <c r="J21" s="40"/>
      <c r="K21" s="40"/>
      <c r="L21" s="40"/>
    </row>
    <row r="22" spans="1:12" x14ac:dyDescent="0.25">
      <c r="A22" s="40" t="s">
        <v>684</v>
      </c>
      <c r="B22" s="40" t="s">
        <v>685</v>
      </c>
      <c r="C22" s="41">
        <v>45393</v>
      </c>
      <c r="D22" s="41">
        <v>45415</v>
      </c>
      <c r="E22" s="52">
        <f t="shared" si="0"/>
        <v>23</v>
      </c>
      <c r="F22" s="40">
        <v>91</v>
      </c>
      <c r="G22" s="40" t="s">
        <v>12</v>
      </c>
      <c r="H22" s="40" t="s">
        <v>686</v>
      </c>
      <c r="I22" s="75" t="s">
        <v>717</v>
      </c>
      <c r="J22" s="40"/>
      <c r="K22" s="40"/>
      <c r="L22" s="40"/>
    </row>
    <row r="23" spans="1:12" x14ac:dyDescent="0.25">
      <c r="A23" s="40" t="s">
        <v>642</v>
      </c>
      <c r="B23" s="1" t="s">
        <v>643</v>
      </c>
      <c r="C23" s="41">
        <v>45394</v>
      </c>
      <c r="D23" s="48">
        <v>45397</v>
      </c>
      <c r="E23" s="52">
        <f t="shared" si="0"/>
        <v>4</v>
      </c>
      <c r="F23" s="40" t="s">
        <v>644</v>
      </c>
      <c r="G23" s="40" t="s">
        <v>14</v>
      </c>
      <c r="H23" s="40" t="s">
        <v>645</v>
      </c>
      <c r="I23" s="40" t="s">
        <v>646</v>
      </c>
      <c r="J23" s="67" t="s">
        <v>13</v>
      </c>
      <c r="K23" s="40"/>
      <c r="L23" s="40"/>
    </row>
    <row r="24" spans="1:12" x14ac:dyDescent="0.25">
      <c r="A24" s="40" t="s">
        <v>593</v>
      </c>
      <c r="B24" s="40" t="s">
        <v>594</v>
      </c>
      <c r="C24" s="41">
        <v>45394</v>
      </c>
      <c r="D24" s="41">
        <v>45405</v>
      </c>
      <c r="E24" s="52">
        <f t="shared" si="0"/>
        <v>12</v>
      </c>
      <c r="F24" s="40">
        <v>28</v>
      </c>
      <c r="G24" s="40" t="s">
        <v>12</v>
      </c>
      <c r="H24" s="40" t="s">
        <v>595</v>
      </c>
      <c r="I24" s="40" t="s">
        <v>20</v>
      </c>
      <c r="J24" s="40"/>
      <c r="K24" s="40"/>
      <c r="L24" s="40"/>
    </row>
    <row r="25" spans="1:12" x14ac:dyDescent="0.25">
      <c r="A25" s="40" t="s">
        <v>622</v>
      </c>
      <c r="B25" s="40" t="s">
        <v>30</v>
      </c>
      <c r="C25" s="41">
        <v>45394</v>
      </c>
      <c r="D25" s="74">
        <v>45397</v>
      </c>
      <c r="E25" s="52">
        <f t="shared" si="0"/>
        <v>4</v>
      </c>
      <c r="F25" s="40">
        <v>45</v>
      </c>
      <c r="G25" s="40" t="s">
        <v>12</v>
      </c>
      <c r="H25" s="40" t="s">
        <v>623</v>
      </c>
      <c r="I25" s="75" t="s">
        <v>20</v>
      </c>
      <c r="J25" s="67"/>
      <c r="K25" s="40"/>
      <c r="L25" s="40"/>
    </row>
    <row r="26" spans="1:12" x14ac:dyDescent="0.25">
      <c r="A26" s="40" t="s">
        <v>722</v>
      </c>
      <c r="B26" s="40" t="s">
        <v>41</v>
      </c>
      <c r="C26" s="41">
        <v>45395</v>
      </c>
      <c r="D26" s="41">
        <v>45422</v>
      </c>
      <c r="E26" s="52">
        <f t="shared" si="0"/>
        <v>28</v>
      </c>
      <c r="F26" s="40">
        <v>26</v>
      </c>
      <c r="G26" s="40" t="s">
        <v>14</v>
      </c>
      <c r="H26" s="40" t="s">
        <v>723</v>
      </c>
      <c r="I26" s="75" t="s">
        <v>724</v>
      </c>
      <c r="J26" s="40"/>
      <c r="K26" s="40"/>
      <c r="L26" s="40"/>
    </row>
    <row r="27" spans="1:12" s="93" customFormat="1" x14ac:dyDescent="0.25">
      <c r="A27" s="88" t="s">
        <v>700</v>
      </c>
      <c r="B27" s="88" t="s">
        <v>701</v>
      </c>
      <c r="C27" s="89">
        <v>45396</v>
      </c>
      <c r="D27" s="89">
        <v>45421</v>
      </c>
      <c r="E27" s="90">
        <f t="shared" si="0"/>
        <v>26</v>
      </c>
      <c r="F27" s="88" t="s">
        <v>702</v>
      </c>
      <c r="G27" s="88" t="s">
        <v>12</v>
      </c>
      <c r="H27" s="88" t="s">
        <v>703</v>
      </c>
      <c r="I27" s="91" t="s">
        <v>145</v>
      </c>
      <c r="J27" s="88"/>
      <c r="K27" s="88"/>
      <c r="L27" s="88"/>
    </row>
    <row r="28" spans="1:12" x14ac:dyDescent="0.25">
      <c r="A28" s="40" t="s">
        <v>630</v>
      </c>
      <c r="B28" s="40" t="s">
        <v>631</v>
      </c>
      <c r="C28" s="41">
        <v>45397</v>
      </c>
      <c r="D28" s="48">
        <v>45400</v>
      </c>
      <c r="E28" s="52">
        <f t="shared" si="0"/>
        <v>4</v>
      </c>
      <c r="F28" s="40">
        <v>42</v>
      </c>
      <c r="G28" s="40" t="s">
        <v>12</v>
      </c>
      <c r="H28" s="40" t="s">
        <v>632</v>
      </c>
      <c r="I28" s="40" t="s">
        <v>633</v>
      </c>
      <c r="J28" s="67" t="s">
        <v>13</v>
      </c>
      <c r="K28" s="40"/>
      <c r="L28" s="40"/>
    </row>
    <row r="29" spans="1:12" x14ac:dyDescent="0.25">
      <c r="A29" s="40" t="s">
        <v>581</v>
      </c>
      <c r="B29" s="40" t="s">
        <v>582</v>
      </c>
      <c r="C29" s="41">
        <v>45397</v>
      </c>
      <c r="D29" s="48">
        <v>45398</v>
      </c>
      <c r="E29" s="52">
        <f t="shared" si="0"/>
        <v>2</v>
      </c>
      <c r="F29" s="40">
        <v>47</v>
      </c>
      <c r="G29" s="40" t="s">
        <v>14</v>
      </c>
      <c r="H29" s="40" t="s">
        <v>583</v>
      </c>
      <c r="I29" s="75" t="s">
        <v>35</v>
      </c>
      <c r="J29" s="67" t="s">
        <v>13</v>
      </c>
      <c r="K29" s="40"/>
      <c r="L29" s="40"/>
    </row>
    <row r="30" spans="1:12" x14ac:dyDescent="0.25">
      <c r="A30" s="40" t="s">
        <v>596</v>
      </c>
      <c r="B30" s="40" t="s">
        <v>597</v>
      </c>
      <c r="C30" s="41">
        <v>45398</v>
      </c>
      <c r="D30" s="41">
        <v>45407</v>
      </c>
      <c r="E30" s="52">
        <f t="shared" si="0"/>
        <v>10</v>
      </c>
      <c r="F30" s="40">
        <v>49</v>
      </c>
      <c r="G30" s="40" t="s">
        <v>12</v>
      </c>
      <c r="H30" s="40" t="s">
        <v>598</v>
      </c>
      <c r="I30" s="75" t="s">
        <v>21</v>
      </c>
      <c r="J30" s="66"/>
      <c r="K30" s="40"/>
      <c r="L30" s="40"/>
    </row>
    <row r="31" spans="1:12" s="19" customFormat="1" x14ac:dyDescent="0.25">
      <c r="A31" s="40" t="s">
        <v>664</v>
      </c>
      <c r="B31" s="40" t="s">
        <v>33</v>
      </c>
      <c r="C31" s="41">
        <v>45398</v>
      </c>
      <c r="D31" s="41">
        <v>45408</v>
      </c>
      <c r="E31" s="52">
        <f t="shared" si="0"/>
        <v>11</v>
      </c>
      <c r="F31" s="40">
        <v>58</v>
      </c>
      <c r="G31" s="40" t="s">
        <v>12</v>
      </c>
      <c r="H31" s="40" t="s">
        <v>669</v>
      </c>
      <c r="I31" s="75" t="s">
        <v>16</v>
      </c>
      <c r="J31" s="40"/>
      <c r="K31" s="40"/>
      <c r="L31" s="40"/>
    </row>
    <row r="32" spans="1:12" s="93" customFormat="1" x14ac:dyDescent="0.25">
      <c r="A32" s="88" t="s">
        <v>693</v>
      </c>
      <c r="B32" s="88" t="s">
        <v>694</v>
      </c>
      <c r="C32" s="89">
        <v>45399</v>
      </c>
      <c r="D32" s="89">
        <v>45419</v>
      </c>
      <c r="E32" s="90">
        <f t="shared" si="0"/>
        <v>21</v>
      </c>
      <c r="F32" s="88">
        <v>45</v>
      </c>
      <c r="G32" s="88" t="s">
        <v>12</v>
      </c>
      <c r="H32" s="88" t="s">
        <v>695</v>
      </c>
      <c r="I32" s="91" t="s">
        <v>145</v>
      </c>
      <c r="J32" s="92"/>
      <c r="K32" s="88"/>
      <c r="L32" s="88"/>
    </row>
    <row r="33" spans="1:14" x14ac:dyDescent="0.25">
      <c r="A33" s="40" t="s">
        <v>588</v>
      </c>
      <c r="B33" s="40" t="s">
        <v>589</v>
      </c>
      <c r="C33" s="41">
        <v>45399</v>
      </c>
      <c r="D33" s="41">
        <v>45405</v>
      </c>
      <c r="E33" s="52">
        <f t="shared" si="0"/>
        <v>7</v>
      </c>
      <c r="F33" s="40">
        <v>47</v>
      </c>
      <c r="G33" s="40" t="s">
        <v>12</v>
      </c>
      <c r="H33" s="40" t="s">
        <v>590</v>
      </c>
      <c r="I33" s="40" t="s">
        <v>16</v>
      </c>
      <c r="J33" s="40"/>
      <c r="K33" s="40"/>
      <c r="L33" s="40"/>
    </row>
    <row r="34" spans="1:14" x14ac:dyDescent="0.25">
      <c r="A34" s="40" t="s">
        <v>567</v>
      </c>
      <c r="B34" s="40" t="s">
        <v>55</v>
      </c>
      <c r="C34" s="41">
        <v>45400</v>
      </c>
      <c r="D34" s="41">
        <v>45401</v>
      </c>
      <c r="E34" s="52">
        <f t="shared" si="0"/>
        <v>2</v>
      </c>
      <c r="F34" s="40">
        <v>75</v>
      </c>
      <c r="G34" s="40" t="s">
        <v>12</v>
      </c>
      <c r="H34" s="40" t="s">
        <v>568</v>
      </c>
      <c r="I34" s="40" t="s">
        <v>569</v>
      </c>
      <c r="J34" s="40"/>
      <c r="K34" s="40"/>
      <c r="L34" s="40"/>
    </row>
    <row r="35" spans="1:14" x14ac:dyDescent="0.25">
      <c r="A35" s="1" t="s">
        <v>607</v>
      </c>
      <c r="B35" s="1" t="s">
        <v>608</v>
      </c>
      <c r="C35" s="41">
        <v>45400</v>
      </c>
      <c r="D35" s="41">
        <v>45408</v>
      </c>
      <c r="E35" s="52">
        <f t="shared" si="0"/>
        <v>9</v>
      </c>
      <c r="F35" s="40">
        <v>73</v>
      </c>
      <c r="G35" s="40" t="s">
        <v>14</v>
      </c>
      <c r="H35" s="40" t="s">
        <v>609</v>
      </c>
      <c r="I35" s="40" t="s">
        <v>610</v>
      </c>
      <c r="J35" s="40"/>
      <c r="K35" s="40"/>
      <c r="L35" s="40"/>
    </row>
    <row r="36" spans="1:14" s="19" customFormat="1" x14ac:dyDescent="0.25">
      <c r="A36" s="40" t="s">
        <v>577</v>
      </c>
      <c r="B36" s="40" t="s">
        <v>574</v>
      </c>
      <c r="C36" s="41">
        <v>45400</v>
      </c>
      <c r="D36" s="41">
        <v>45407</v>
      </c>
      <c r="E36" s="52">
        <f t="shared" si="0"/>
        <v>8</v>
      </c>
      <c r="F36" s="40">
        <v>32</v>
      </c>
      <c r="G36" s="40" t="s">
        <v>14</v>
      </c>
      <c r="H36" s="40" t="s">
        <v>575</v>
      </c>
      <c r="I36" s="40" t="s">
        <v>576</v>
      </c>
      <c r="J36" s="40"/>
      <c r="K36" s="40"/>
      <c r="L36" s="40"/>
    </row>
    <row r="37" spans="1:14" x14ac:dyDescent="0.25">
      <c r="A37" s="40" t="s">
        <v>559</v>
      </c>
      <c r="B37" s="40" t="s">
        <v>560</v>
      </c>
      <c r="C37" s="41">
        <v>45400</v>
      </c>
      <c r="D37" s="41">
        <v>45405</v>
      </c>
      <c r="E37" s="52">
        <f t="shared" si="0"/>
        <v>6</v>
      </c>
      <c r="F37" s="40">
        <v>84</v>
      </c>
      <c r="G37" s="40" t="s">
        <v>12</v>
      </c>
      <c r="H37" s="40" t="s">
        <v>561</v>
      </c>
      <c r="I37" s="40" t="s">
        <v>562</v>
      </c>
      <c r="J37" s="40"/>
      <c r="K37" s="40"/>
      <c r="L37" s="40"/>
    </row>
    <row r="38" spans="1:14" x14ac:dyDescent="0.25">
      <c r="A38" s="40" t="s">
        <v>563</v>
      </c>
      <c r="B38" s="40" t="s">
        <v>564</v>
      </c>
      <c r="C38" s="41">
        <v>45401</v>
      </c>
      <c r="D38" s="48">
        <v>45403</v>
      </c>
      <c r="E38" s="52">
        <f t="shared" si="0"/>
        <v>3</v>
      </c>
      <c r="F38" s="40">
        <v>85</v>
      </c>
      <c r="G38" s="40" t="s">
        <v>12</v>
      </c>
      <c r="H38" s="40" t="s">
        <v>565</v>
      </c>
      <c r="I38" s="40" t="s">
        <v>566</v>
      </c>
      <c r="J38" s="67" t="s">
        <v>13</v>
      </c>
      <c r="K38" s="40"/>
      <c r="L38" s="40"/>
    </row>
    <row r="39" spans="1:14" x14ac:dyDescent="0.25">
      <c r="A39" s="40" t="s">
        <v>624</v>
      </c>
      <c r="B39" s="40" t="s">
        <v>625</v>
      </c>
      <c r="C39" s="41">
        <v>45401</v>
      </c>
      <c r="D39" s="48">
        <v>45404</v>
      </c>
      <c r="E39" s="52">
        <f t="shared" si="0"/>
        <v>4</v>
      </c>
      <c r="F39" s="40">
        <v>41</v>
      </c>
      <c r="G39" s="40" t="s">
        <v>12</v>
      </c>
      <c r="H39" s="40" t="s">
        <v>626</v>
      </c>
      <c r="I39" s="40" t="s">
        <v>576</v>
      </c>
      <c r="J39" s="67" t="s">
        <v>13</v>
      </c>
      <c r="K39" s="40"/>
      <c r="L39" s="40"/>
    </row>
    <row r="40" spans="1:14" x14ac:dyDescent="0.25">
      <c r="A40" s="40" t="s">
        <v>789</v>
      </c>
      <c r="B40" s="40" t="s">
        <v>790</v>
      </c>
      <c r="C40" s="41">
        <v>45406</v>
      </c>
      <c r="D40" s="74">
        <v>45421</v>
      </c>
      <c r="E40" s="52">
        <f t="shared" si="0"/>
        <v>16</v>
      </c>
      <c r="F40" s="40">
        <v>49</v>
      </c>
      <c r="G40" s="40" t="s">
        <v>14</v>
      </c>
      <c r="H40" s="40" t="s">
        <v>791</v>
      </c>
      <c r="I40" s="40" t="s">
        <v>792</v>
      </c>
      <c r="J40" s="67"/>
      <c r="K40" s="40"/>
      <c r="L40" s="40"/>
    </row>
    <row r="41" spans="1:14" x14ac:dyDescent="0.25">
      <c r="A41" s="40" t="s">
        <v>713</v>
      </c>
      <c r="B41" s="40" t="s">
        <v>714</v>
      </c>
      <c r="C41" s="41">
        <v>45408</v>
      </c>
      <c r="D41" s="74">
        <v>45420</v>
      </c>
      <c r="E41" s="52">
        <f t="shared" si="0"/>
        <v>13</v>
      </c>
      <c r="F41" s="40">
        <v>41</v>
      </c>
      <c r="G41" s="40" t="s">
        <v>12</v>
      </c>
      <c r="H41" s="40" t="s">
        <v>715</v>
      </c>
      <c r="I41" s="75" t="s">
        <v>716</v>
      </c>
      <c r="J41" s="67"/>
      <c r="K41" s="40"/>
      <c r="L41" s="40"/>
    </row>
    <row r="42" spans="1:14" x14ac:dyDescent="0.25">
      <c r="A42" s="40" t="s">
        <v>696</v>
      </c>
      <c r="B42" s="40" t="s">
        <v>697</v>
      </c>
      <c r="C42" s="41">
        <v>45408</v>
      </c>
      <c r="D42" s="74">
        <v>45418</v>
      </c>
      <c r="E42" s="52">
        <f t="shared" si="0"/>
        <v>11</v>
      </c>
      <c r="F42" s="40">
        <v>46</v>
      </c>
      <c r="G42" s="40" t="s">
        <v>14</v>
      </c>
      <c r="H42" s="40" t="s">
        <v>699</v>
      </c>
      <c r="I42" s="40" t="s">
        <v>698</v>
      </c>
      <c r="J42" s="67"/>
      <c r="K42" s="40"/>
      <c r="L42" s="40"/>
    </row>
    <row r="43" spans="1:14" x14ac:dyDescent="0.25">
      <c r="A43" s="40" t="s">
        <v>651</v>
      </c>
      <c r="B43" s="40" t="s">
        <v>652</v>
      </c>
      <c r="C43" s="41">
        <v>45408</v>
      </c>
      <c r="D43" s="48">
        <v>45413</v>
      </c>
      <c r="E43" s="52">
        <f t="shared" si="0"/>
        <v>6</v>
      </c>
      <c r="F43" s="40">
        <v>36</v>
      </c>
      <c r="G43" s="40" t="s">
        <v>12</v>
      </c>
      <c r="H43" s="40" t="s">
        <v>653</v>
      </c>
      <c r="I43" s="75" t="s">
        <v>654</v>
      </c>
      <c r="J43" s="67" t="s">
        <v>13</v>
      </c>
      <c r="K43" s="40"/>
      <c r="L43" s="40"/>
      <c r="N43" t="s">
        <v>36</v>
      </c>
    </row>
    <row r="44" spans="1:14" s="56" customFormat="1" x14ac:dyDescent="0.25">
      <c r="A44" s="53" t="s">
        <v>657</v>
      </c>
      <c r="B44" s="53" t="s">
        <v>658</v>
      </c>
      <c r="C44" s="54">
        <v>45383</v>
      </c>
      <c r="D44" s="54">
        <v>45414</v>
      </c>
      <c r="E44" s="55">
        <f t="shared" si="0"/>
        <v>32</v>
      </c>
      <c r="F44" s="53">
        <v>27</v>
      </c>
      <c r="G44" s="53" t="s">
        <v>12</v>
      </c>
      <c r="H44" s="53" t="s">
        <v>659</v>
      </c>
      <c r="I44" s="58" t="s">
        <v>145</v>
      </c>
      <c r="J44" s="81"/>
      <c r="K44" s="53"/>
      <c r="L44" s="53"/>
    </row>
    <row r="45" spans="1:14" s="19" customFormat="1" x14ac:dyDescent="0.25">
      <c r="A45" s="40" t="s">
        <v>660</v>
      </c>
      <c r="B45" s="40" t="s">
        <v>661</v>
      </c>
      <c r="C45" s="41">
        <v>45400</v>
      </c>
      <c r="D45" s="74">
        <v>45411</v>
      </c>
      <c r="E45" s="52">
        <f t="shared" si="0"/>
        <v>12</v>
      </c>
      <c r="F45" s="40">
        <v>40</v>
      </c>
      <c r="G45" s="40" t="s">
        <v>12</v>
      </c>
      <c r="H45" s="40" t="s">
        <v>662</v>
      </c>
      <c r="I45" s="40" t="s">
        <v>663</v>
      </c>
      <c r="J45" s="67"/>
      <c r="K45" s="40"/>
      <c r="L45" s="40"/>
    </row>
    <row r="46" spans="1:14" x14ac:dyDescent="0.25">
      <c r="A46" s="40" t="s">
        <v>665</v>
      </c>
      <c r="B46" s="40" t="s">
        <v>666</v>
      </c>
      <c r="C46" s="41">
        <v>45399</v>
      </c>
      <c r="D46" s="41">
        <v>45408</v>
      </c>
      <c r="E46" s="52">
        <f t="shared" ref="E46" si="1">D46-C46+1</f>
        <v>10</v>
      </c>
      <c r="F46" s="40">
        <v>29</v>
      </c>
      <c r="G46" s="40" t="s">
        <v>12</v>
      </c>
      <c r="H46" s="40" t="s">
        <v>667</v>
      </c>
      <c r="I46" s="75" t="s">
        <v>668</v>
      </c>
      <c r="J46" s="66"/>
      <c r="K46" s="40"/>
      <c r="L46" s="40"/>
    </row>
    <row r="47" spans="1:14" s="56" customFormat="1" x14ac:dyDescent="0.25">
      <c r="A47" s="53" t="s">
        <v>672</v>
      </c>
      <c r="B47" s="53" t="s">
        <v>59</v>
      </c>
      <c r="C47" s="54">
        <v>45408</v>
      </c>
      <c r="D47" s="78">
        <v>45443</v>
      </c>
      <c r="E47" s="55">
        <f t="shared" si="0"/>
        <v>36</v>
      </c>
      <c r="F47" s="53">
        <v>21</v>
      </c>
      <c r="G47" s="53" t="s">
        <v>14</v>
      </c>
      <c r="H47" s="53" t="s">
        <v>673</v>
      </c>
      <c r="I47" s="58" t="s">
        <v>145</v>
      </c>
      <c r="J47" s="57"/>
      <c r="K47" s="53"/>
      <c r="L47" s="53"/>
    </row>
    <row r="48" spans="1:14" s="56" customFormat="1" x14ac:dyDescent="0.25">
      <c r="A48" s="53" t="s">
        <v>674</v>
      </c>
      <c r="B48" s="53" t="s">
        <v>675</v>
      </c>
      <c r="C48" s="54">
        <v>45411</v>
      </c>
      <c r="D48" s="54">
        <v>45436</v>
      </c>
      <c r="E48" s="55">
        <f t="shared" si="0"/>
        <v>26</v>
      </c>
      <c r="F48" s="53" t="s">
        <v>644</v>
      </c>
      <c r="G48" s="53" t="s">
        <v>12</v>
      </c>
      <c r="H48" s="53" t="s">
        <v>676</v>
      </c>
      <c r="I48" s="58" t="s">
        <v>145</v>
      </c>
      <c r="K48" s="53"/>
      <c r="L48" s="53"/>
    </row>
    <row r="49" spans="1:16" x14ac:dyDescent="0.25">
      <c r="A49" s="40" t="s">
        <v>677</v>
      </c>
      <c r="B49" s="40" t="s">
        <v>678</v>
      </c>
      <c r="C49" s="41">
        <v>45411</v>
      </c>
      <c r="D49" s="41">
        <v>45422</v>
      </c>
      <c r="E49" s="52">
        <f t="shared" si="0"/>
        <v>12</v>
      </c>
      <c r="F49" s="40">
        <v>57</v>
      </c>
      <c r="G49" s="40" t="s">
        <v>12</v>
      </c>
      <c r="H49" s="40" t="s">
        <v>679</v>
      </c>
      <c r="I49" s="40" t="s">
        <v>705</v>
      </c>
      <c r="J49" s="40"/>
      <c r="K49" s="40"/>
      <c r="L49" s="40"/>
    </row>
    <row r="50" spans="1:16" s="19" customFormat="1" x14ac:dyDescent="0.25">
      <c r="A50" s="40" t="s">
        <v>680</v>
      </c>
      <c r="B50" s="40" t="s">
        <v>683</v>
      </c>
      <c r="C50" s="41">
        <v>45411</v>
      </c>
      <c r="D50" s="41">
        <v>45439</v>
      </c>
      <c r="E50" s="52">
        <f t="shared" si="0"/>
        <v>29</v>
      </c>
      <c r="F50" s="40">
        <v>35</v>
      </c>
      <c r="G50" s="40" t="s">
        <v>12</v>
      </c>
      <c r="H50" s="40" t="s">
        <v>831</v>
      </c>
      <c r="I50" s="75" t="s">
        <v>832</v>
      </c>
      <c r="J50" s="71"/>
      <c r="K50" s="40"/>
      <c r="L50" s="40"/>
    </row>
    <row r="51" spans="1:16" s="56" customFormat="1" x14ac:dyDescent="0.25">
      <c r="A51" s="53" t="s">
        <v>657</v>
      </c>
      <c r="B51" s="53" t="s">
        <v>658</v>
      </c>
      <c r="C51" s="54">
        <v>45383</v>
      </c>
      <c r="D51" s="78">
        <v>45414</v>
      </c>
      <c r="E51" s="55">
        <f t="shared" si="0"/>
        <v>32</v>
      </c>
      <c r="F51" s="53">
        <v>27</v>
      </c>
      <c r="G51" s="53" t="s">
        <v>12</v>
      </c>
      <c r="H51" s="53" t="s">
        <v>659</v>
      </c>
      <c r="I51" s="58" t="s">
        <v>145</v>
      </c>
      <c r="J51" s="57"/>
      <c r="K51" s="57"/>
    </row>
    <row r="52" spans="1:16" x14ac:dyDescent="0.25">
      <c r="A52" s="40" t="s">
        <v>747</v>
      </c>
      <c r="B52" s="40" t="s">
        <v>748</v>
      </c>
      <c r="C52" s="41">
        <v>45397</v>
      </c>
      <c r="D52" s="41">
        <v>45427</v>
      </c>
      <c r="E52" s="52">
        <f t="shared" si="0"/>
        <v>31</v>
      </c>
      <c r="F52" s="40">
        <v>29</v>
      </c>
      <c r="G52" s="40" t="s">
        <v>14</v>
      </c>
      <c r="H52" s="40" t="s">
        <v>749</v>
      </c>
      <c r="I52" s="71" t="s">
        <v>750</v>
      </c>
      <c r="J52" s="71" t="s">
        <v>45</v>
      </c>
      <c r="K52" s="40"/>
      <c r="L52" s="40"/>
    </row>
    <row r="53" spans="1:16" s="19" customFormat="1" x14ac:dyDescent="0.25">
      <c r="A53" s="40" t="s">
        <v>758</v>
      </c>
      <c r="B53" s="40" t="s">
        <v>759</v>
      </c>
      <c r="C53" s="41">
        <v>45400</v>
      </c>
      <c r="D53" s="41">
        <v>45427</v>
      </c>
      <c r="E53" s="52">
        <f t="shared" si="0"/>
        <v>28</v>
      </c>
      <c r="F53" s="40">
        <v>40</v>
      </c>
      <c r="G53" s="40" t="s">
        <v>12</v>
      </c>
      <c r="H53" s="40" t="s">
        <v>760</v>
      </c>
      <c r="I53" s="40" t="s">
        <v>761</v>
      </c>
      <c r="J53" s="40"/>
      <c r="K53" s="40"/>
      <c r="L53" s="40"/>
    </row>
    <row r="54" spans="1:16" x14ac:dyDescent="0.25">
      <c r="A54" s="40" t="s">
        <v>778</v>
      </c>
      <c r="B54" s="40" t="s">
        <v>779</v>
      </c>
      <c r="C54" s="41">
        <v>45401</v>
      </c>
      <c r="D54" s="41">
        <v>45427</v>
      </c>
      <c r="E54" s="52">
        <f t="shared" si="0"/>
        <v>27</v>
      </c>
      <c r="F54" s="40">
        <v>30</v>
      </c>
      <c r="G54" s="40" t="s">
        <v>12</v>
      </c>
      <c r="H54" s="40" t="s">
        <v>780</v>
      </c>
      <c r="I54" s="40" t="s">
        <v>16</v>
      </c>
      <c r="J54" s="66"/>
      <c r="K54" s="40"/>
      <c r="L54" s="40"/>
    </row>
    <row r="55" spans="1:16" x14ac:dyDescent="0.25">
      <c r="A55" s="40"/>
      <c r="B55" s="40"/>
      <c r="C55" s="41"/>
      <c r="D55" s="41"/>
      <c r="E55" s="52">
        <f t="shared" si="0"/>
        <v>1</v>
      </c>
      <c r="F55" s="40"/>
      <c r="G55" s="40"/>
      <c r="H55" s="40"/>
      <c r="I55" s="40"/>
      <c r="J55" s="40"/>
      <c r="K55" s="40"/>
      <c r="L55" s="66"/>
    </row>
    <row r="56" spans="1:16" x14ac:dyDescent="0.25">
      <c r="A56" s="40"/>
      <c r="B56" s="40"/>
      <c r="C56" s="41"/>
      <c r="D56" s="41"/>
      <c r="E56" s="52">
        <f t="shared" si="0"/>
        <v>1</v>
      </c>
      <c r="F56" s="40"/>
      <c r="G56" s="40"/>
      <c r="H56" s="40"/>
      <c r="I56" s="40"/>
      <c r="J56" s="66"/>
      <c r="K56" s="40"/>
      <c r="L56" s="40"/>
    </row>
    <row r="57" spans="1:16" s="19" customFormat="1" x14ac:dyDescent="0.25">
      <c r="A57" s="40"/>
      <c r="B57" s="40"/>
      <c r="C57" s="41"/>
      <c r="D57" s="41"/>
      <c r="E57" s="52">
        <f t="shared" si="0"/>
        <v>1</v>
      </c>
      <c r="F57" s="40"/>
      <c r="G57" s="40"/>
      <c r="H57" s="40"/>
      <c r="I57" s="71"/>
      <c r="J57" s="66"/>
      <c r="K57" s="66"/>
      <c r="L57" s="40"/>
    </row>
    <row r="58" spans="1:16" x14ac:dyDescent="0.25">
      <c r="A58" s="40"/>
      <c r="B58" s="40"/>
      <c r="C58" s="41"/>
      <c r="D58" s="41"/>
      <c r="E58" s="52">
        <f t="shared" si="0"/>
        <v>1</v>
      </c>
      <c r="F58" s="40"/>
      <c r="G58" s="40"/>
      <c r="H58" s="40"/>
      <c r="I58" s="40"/>
      <c r="J58" s="40"/>
      <c r="K58" s="40"/>
      <c r="L58" s="40"/>
    </row>
    <row r="59" spans="1:16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40"/>
      <c r="K59" s="40"/>
      <c r="L59" s="40"/>
    </row>
    <row r="60" spans="1:16" x14ac:dyDescent="0.25">
      <c r="A60" s="40"/>
      <c r="B60" s="40"/>
      <c r="C60" s="41"/>
      <c r="D60" s="41"/>
      <c r="E60" s="52">
        <f t="shared" si="0"/>
        <v>1</v>
      </c>
      <c r="F60" s="40"/>
      <c r="G60" s="40"/>
      <c r="H60" s="40"/>
      <c r="I60" s="40"/>
      <c r="J60" s="40"/>
      <c r="K60" s="40"/>
      <c r="L60" s="40"/>
      <c r="P60" s="24"/>
    </row>
    <row r="61" spans="1:16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40"/>
      <c r="L61" s="40"/>
    </row>
    <row r="62" spans="1:16" x14ac:dyDescent="0.25">
      <c r="A62" s="40"/>
      <c r="B62" s="40"/>
      <c r="C62" s="41"/>
      <c r="D62" s="41"/>
      <c r="E62" s="52">
        <f t="shared" si="0"/>
        <v>1</v>
      </c>
      <c r="F62" s="40"/>
      <c r="G62" s="40"/>
      <c r="H62" s="40"/>
      <c r="I62" s="40"/>
      <c r="J62" s="71"/>
      <c r="K62" s="40"/>
      <c r="L62" s="40"/>
    </row>
    <row r="63" spans="1:16" x14ac:dyDescent="0.25">
      <c r="A63" s="40"/>
      <c r="B63" s="40"/>
      <c r="C63" s="41"/>
      <c r="D63" s="41"/>
      <c r="E63" s="52">
        <f t="shared" si="0"/>
        <v>1</v>
      </c>
      <c r="F63" s="40"/>
      <c r="G63" s="40"/>
      <c r="H63" s="40"/>
      <c r="I63" s="40"/>
      <c r="J63" s="40"/>
      <c r="K63" s="40"/>
      <c r="L63" s="40"/>
    </row>
    <row r="64" spans="1:16" x14ac:dyDescent="0.25">
      <c r="A64" s="40"/>
      <c r="B64" s="40"/>
      <c r="C64" s="41"/>
      <c r="D64" s="48"/>
      <c r="E64" s="52">
        <f t="shared" si="0"/>
        <v>1</v>
      </c>
      <c r="F64" s="40"/>
      <c r="G64" s="40"/>
      <c r="H64" s="40"/>
      <c r="I64" s="40"/>
      <c r="J64" s="67"/>
      <c r="K64" s="40"/>
      <c r="L64" s="40"/>
    </row>
    <row r="65" spans="1:12" x14ac:dyDescent="0.25">
      <c r="A65" s="40"/>
      <c r="B65" s="40"/>
      <c r="C65" s="41"/>
      <c r="D65" s="41"/>
      <c r="E65" s="52">
        <f t="shared" ref="E65:E90" si="2">D65-C65+1</f>
        <v>1</v>
      </c>
      <c r="F65" s="40"/>
      <c r="G65" s="40"/>
      <c r="H65" s="40"/>
      <c r="I65" s="40"/>
      <c r="J65" s="40"/>
      <c r="K65" s="40"/>
      <c r="L65" s="40"/>
    </row>
    <row r="66" spans="1:12" x14ac:dyDescent="0.25">
      <c r="A66" s="40"/>
      <c r="B66" s="40"/>
      <c r="C66" s="41"/>
      <c r="D66" s="48"/>
      <c r="E66" s="52">
        <f t="shared" si="2"/>
        <v>1</v>
      </c>
      <c r="F66" s="40"/>
      <c r="G66" s="40"/>
      <c r="H66" s="40"/>
      <c r="I66" s="40"/>
      <c r="J66" s="67"/>
      <c r="K66" s="40"/>
      <c r="L66" s="40"/>
    </row>
    <row r="67" spans="1:12" x14ac:dyDescent="0.25">
      <c r="A67" s="40"/>
      <c r="B67" s="40"/>
      <c r="C67" s="41"/>
      <c r="D67" s="41"/>
      <c r="E67" s="52">
        <f t="shared" si="2"/>
        <v>1</v>
      </c>
      <c r="F67" s="40"/>
      <c r="G67" s="40"/>
      <c r="H67" s="40"/>
      <c r="I67" s="40"/>
      <c r="J67" s="40"/>
      <c r="K67" s="40"/>
      <c r="L67" s="40"/>
    </row>
    <row r="68" spans="1:12" x14ac:dyDescent="0.25">
      <c r="A68" s="40"/>
      <c r="B68" s="40"/>
      <c r="C68" s="40"/>
      <c r="D68" s="40"/>
      <c r="E68" s="52">
        <f t="shared" si="2"/>
        <v>1</v>
      </c>
      <c r="F68" s="40"/>
      <c r="G68" s="40"/>
      <c r="H68" s="40"/>
      <c r="I68" s="40"/>
      <c r="J68" s="40"/>
      <c r="K68" s="40"/>
      <c r="L68" s="40"/>
    </row>
    <row r="69" spans="1:12" x14ac:dyDescent="0.25">
      <c r="A69" s="40"/>
      <c r="B69" s="40"/>
      <c r="C69" s="40"/>
      <c r="D69" s="40"/>
      <c r="E69" s="52">
        <f t="shared" si="2"/>
        <v>1</v>
      </c>
      <c r="F69" s="40"/>
      <c r="G69" s="40"/>
      <c r="H69" s="40"/>
      <c r="I69" s="40"/>
      <c r="J69" s="40"/>
      <c r="K69" s="40"/>
      <c r="L69" s="40"/>
    </row>
    <row r="70" spans="1:12" x14ac:dyDescent="0.25">
      <c r="A70" s="40"/>
      <c r="B70" s="40"/>
      <c r="C70" s="40"/>
      <c r="D70" s="40"/>
      <c r="E70" s="52">
        <f t="shared" si="2"/>
        <v>1</v>
      </c>
      <c r="F70" s="40"/>
      <c r="G70" s="40"/>
      <c r="H70" s="40"/>
      <c r="I70" s="40"/>
      <c r="J70" s="40"/>
      <c r="K70" s="40"/>
      <c r="L70" s="40"/>
    </row>
    <row r="71" spans="1:12" x14ac:dyDescent="0.25">
      <c r="A71" s="40"/>
      <c r="B71" s="40"/>
      <c r="C71" s="40"/>
      <c r="D71" s="41"/>
      <c r="E71" s="52">
        <f t="shared" si="2"/>
        <v>1</v>
      </c>
      <c r="F71" s="40"/>
      <c r="G71" s="40"/>
      <c r="H71" s="40"/>
      <c r="I71" s="40"/>
      <c r="J71" s="40"/>
      <c r="K71" s="40"/>
      <c r="L71" s="40"/>
    </row>
    <row r="72" spans="1:12" x14ac:dyDescent="0.25">
      <c r="A72" s="40"/>
      <c r="B72" s="40"/>
      <c r="C72" s="40"/>
      <c r="D72" s="40"/>
      <c r="E72" s="52">
        <f t="shared" si="2"/>
        <v>1</v>
      </c>
      <c r="F72" s="40"/>
      <c r="G72" s="40"/>
      <c r="H72" s="40"/>
      <c r="I72" s="40"/>
      <c r="J72" s="40"/>
      <c r="K72" s="40"/>
      <c r="L72" s="40"/>
    </row>
    <row r="73" spans="1:12" x14ac:dyDescent="0.25">
      <c r="A73" s="40"/>
      <c r="B73" s="40"/>
      <c r="C73" s="40"/>
      <c r="D73" s="40"/>
      <c r="E73" s="52">
        <f t="shared" si="2"/>
        <v>1</v>
      </c>
      <c r="F73" s="40"/>
      <c r="G73" s="40"/>
      <c r="H73" s="40"/>
      <c r="I73" s="40"/>
      <c r="J73" s="40"/>
      <c r="K73" s="40"/>
      <c r="L73" s="40"/>
    </row>
    <row r="74" spans="1:12" x14ac:dyDescent="0.25">
      <c r="A74" s="40"/>
      <c r="B74" s="40"/>
      <c r="C74" s="40"/>
      <c r="D74" s="40"/>
      <c r="E74" s="52">
        <f t="shared" si="2"/>
        <v>1</v>
      </c>
      <c r="F74" s="40"/>
      <c r="G74" s="40"/>
      <c r="H74" s="40"/>
      <c r="I74" s="40"/>
      <c r="J74" s="40"/>
      <c r="K74" s="40"/>
      <c r="L74" s="40"/>
    </row>
    <row r="75" spans="1:12" x14ac:dyDescent="0.25">
      <c r="A75" s="40"/>
      <c r="B75" s="40"/>
      <c r="C75" s="40"/>
      <c r="D75" s="40"/>
      <c r="E75" s="52">
        <f t="shared" si="2"/>
        <v>1</v>
      </c>
      <c r="F75" s="40"/>
      <c r="G75" s="40"/>
      <c r="H75" s="40"/>
      <c r="I75" s="40"/>
      <c r="J75" s="40"/>
      <c r="K75" s="40"/>
      <c r="L75" s="40"/>
    </row>
    <row r="76" spans="1:12" x14ac:dyDescent="0.25">
      <c r="A76" s="40"/>
      <c r="B76" s="40"/>
      <c r="C76" s="40"/>
      <c r="D76" s="40"/>
      <c r="E76" s="52">
        <f t="shared" si="2"/>
        <v>1</v>
      </c>
      <c r="F76" s="40"/>
      <c r="G76" s="40"/>
      <c r="H76" s="40"/>
      <c r="I76" s="40"/>
      <c r="J76" s="40"/>
      <c r="K76" s="40"/>
      <c r="L76" s="40"/>
    </row>
    <row r="77" spans="1:12" x14ac:dyDescent="0.25">
      <c r="A77" s="40"/>
      <c r="B77" s="40"/>
      <c r="C77" s="40"/>
      <c r="D77" s="41"/>
      <c r="E77" s="52">
        <f t="shared" si="2"/>
        <v>1</v>
      </c>
      <c r="F77" s="40"/>
      <c r="G77" s="40"/>
      <c r="H77" s="40"/>
      <c r="I77" s="40"/>
      <c r="J77" s="40"/>
      <c r="K77" s="40"/>
      <c r="L77" s="40"/>
    </row>
    <row r="78" spans="1:12" x14ac:dyDescent="0.25">
      <c r="A78" s="40"/>
      <c r="B78" s="40"/>
      <c r="C78" s="40"/>
      <c r="D78" s="41"/>
      <c r="E78" s="52">
        <f t="shared" si="2"/>
        <v>1</v>
      </c>
      <c r="F78" s="40"/>
      <c r="G78" s="40"/>
      <c r="H78" s="40"/>
      <c r="I78" s="40"/>
      <c r="J78" s="40"/>
      <c r="K78" s="40"/>
      <c r="L78" s="40"/>
    </row>
    <row r="79" spans="1:12" x14ac:dyDescent="0.25">
      <c r="A79" s="40"/>
      <c r="B79" s="40"/>
      <c r="C79" s="40"/>
      <c r="D79" s="40"/>
      <c r="E79" s="52">
        <f t="shared" si="2"/>
        <v>1</v>
      </c>
      <c r="F79" s="40"/>
      <c r="G79" s="40"/>
      <c r="H79" s="40"/>
      <c r="I79" s="40"/>
      <c r="J79" s="40"/>
      <c r="K79" s="40"/>
      <c r="L79" s="40"/>
    </row>
    <row r="80" spans="1:12" x14ac:dyDescent="0.25">
      <c r="A80" s="40"/>
      <c r="B80" s="40"/>
      <c r="C80" s="40"/>
      <c r="D80" s="40"/>
      <c r="E80" s="52">
        <f t="shared" si="2"/>
        <v>1</v>
      </c>
      <c r="F80" s="40"/>
      <c r="G80" s="40"/>
      <c r="H80" s="40"/>
      <c r="I80" s="40"/>
      <c r="J80" s="40"/>
      <c r="K80" s="40"/>
      <c r="L80" s="40"/>
    </row>
    <row r="81" spans="1:12" x14ac:dyDescent="0.25">
      <c r="A81" s="40"/>
      <c r="B81" s="40"/>
      <c r="C81" s="40"/>
      <c r="D81" s="40"/>
      <c r="E81" s="52">
        <f t="shared" si="2"/>
        <v>1</v>
      </c>
      <c r="F81" s="40"/>
      <c r="G81" s="40"/>
      <c r="H81" s="40"/>
      <c r="I81" s="40"/>
      <c r="J81" s="40"/>
      <c r="K81" s="40"/>
      <c r="L81" s="40"/>
    </row>
    <row r="82" spans="1:12" x14ac:dyDescent="0.25">
      <c r="A82" s="40"/>
      <c r="B82" s="40"/>
      <c r="C82" s="40"/>
      <c r="D82" s="40"/>
      <c r="E82" s="52">
        <f t="shared" si="2"/>
        <v>1</v>
      </c>
      <c r="F82" s="40"/>
      <c r="G82" s="40"/>
      <c r="H82" s="40"/>
      <c r="I82" s="40"/>
      <c r="J82" s="40"/>
      <c r="K82" s="40"/>
      <c r="L82" s="40"/>
    </row>
    <row r="83" spans="1:12" x14ac:dyDescent="0.25">
      <c r="A83" s="40"/>
      <c r="B83" s="40"/>
      <c r="C83" s="40"/>
      <c r="D83" s="40"/>
      <c r="E83" s="52">
        <f t="shared" si="2"/>
        <v>1</v>
      </c>
      <c r="F83" s="40"/>
      <c r="G83" s="40"/>
      <c r="H83" s="40"/>
      <c r="I83" s="40"/>
      <c r="J83" s="40"/>
      <c r="K83" s="40"/>
      <c r="L83" s="40"/>
    </row>
    <row r="84" spans="1:12" x14ac:dyDescent="0.25">
      <c r="A84" s="40"/>
      <c r="B84" s="40"/>
      <c r="C84" s="40"/>
      <c r="D84" s="40"/>
      <c r="E84" s="52">
        <f t="shared" si="2"/>
        <v>1</v>
      </c>
      <c r="F84" s="40"/>
      <c r="G84" s="40"/>
      <c r="H84" s="40"/>
      <c r="I84" s="40"/>
      <c r="J84" s="40"/>
      <c r="K84" s="40"/>
      <c r="L84" s="40"/>
    </row>
    <row r="85" spans="1:12" x14ac:dyDescent="0.25">
      <c r="A85" s="40"/>
      <c r="B85" s="40"/>
      <c r="C85" s="40"/>
      <c r="D85" s="40"/>
      <c r="E85" s="52">
        <f t="shared" si="2"/>
        <v>1</v>
      </c>
      <c r="F85" s="40"/>
      <c r="G85" s="40"/>
      <c r="H85" s="40"/>
      <c r="I85" s="40"/>
      <c r="J85" s="40"/>
      <c r="K85" s="40"/>
      <c r="L85" s="40"/>
    </row>
    <row r="86" spans="1:12" x14ac:dyDescent="0.25">
      <c r="A86" s="40"/>
      <c r="B86" s="40"/>
      <c r="C86" s="40"/>
      <c r="D86" s="40"/>
      <c r="E86" s="52">
        <f t="shared" si="2"/>
        <v>1</v>
      </c>
      <c r="F86" s="40"/>
      <c r="G86" s="40"/>
      <c r="H86" s="40"/>
      <c r="I86" s="40"/>
      <c r="J86" s="40"/>
      <c r="K86" s="40"/>
      <c r="L86" s="40"/>
    </row>
    <row r="87" spans="1:12" x14ac:dyDescent="0.25">
      <c r="A87" s="40"/>
      <c r="B87" s="40"/>
      <c r="C87" s="40"/>
      <c r="D87" s="40"/>
      <c r="E87" s="52">
        <f t="shared" si="2"/>
        <v>1</v>
      </c>
      <c r="F87" s="40"/>
      <c r="G87" s="40"/>
      <c r="H87" s="40"/>
      <c r="I87" s="40"/>
      <c r="J87" s="40"/>
      <c r="K87" s="40"/>
      <c r="L87" s="40"/>
    </row>
    <row r="88" spans="1:12" x14ac:dyDescent="0.25">
      <c r="A88" s="40"/>
      <c r="B88" s="40"/>
      <c r="C88" s="40"/>
      <c r="D88" s="41"/>
      <c r="E88" s="52">
        <f t="shared" si="2"/>
        <v>1</v>
      </c>
      <c r="F88" s="40"/>
      <c r="G88" s="40"/>
      <c r="H88" s="40"/>
      <c r="I88" s="40"/>
      <c r="J88" s="40"/>
      <c r="K88" s="40"/>
      <c r="L88" s="40"/>
    </row>
    <row r="89" spans="1:12" x14ac:dyDescent="0.25">
      <c r="A89" s="40"/>
      <c r="B89" s="40"/>
      <c r="C89" s="40"/>
      <c r="D89" s="40"/>
      <c r="E89" s="52">
        <f t="shared" si="2"/>
        <v>1</v>
      </c>
      <c r="F89" s="40"/>
      <c r="G89" s="40"/>
      <c r="H89" s="40"/>
      <c r="I89" s="40"/>
      <c r="J89" s="40"/>
      <c r="K89" s="40"/>
      <c r="L89" s="40"/>
    </row>
    <row r="90" spans="1:12" x14ac:dyDescent="0.25">
      <c r="A90" s="40"/>
      <c r="B90" s="40"/>
      <c r="C90" s="40"/>
      <c r="D90" s="40"/>
      <c r="E90" s="52">
        <f t="shared" si="2"/>
        <v>1</v>
      </c>
      <c r="F90" s="40"/>
      <c r="G90" s="40"/>
      <c r="H90" s="40"/>
      <c r="I90" s="40"/>
      <c r="J90" s="40"/>
      <c r="K90" s="40"/>
      <c r="L90" s="40"/>
    </row>
    <row r="91" spans="1:12" x14ac:dyDescent="0.25">
      <c r="A91" s="1"/>
      <c r="B91" s="1"/>
      <c r="C91" s="1"/>
      <c r="D91" s="4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opLeftCell="A34" zoomScale="110" zoomScaleNormal="110" workbookViewId="0">
      <selection activeCell="B21" sqref="B21"/>
    </sheetView>
  </sheetViews>
  <sheetFormatPr baseColWidth="10" defaultRowHeight="15" x14ac:dyDescent="0.25"/>
  <cols>
    <col min="1" max="1" width="14.85546875" customWidth="1"/>
    <col min="2" max="2" width="25" customWidth="1"/>
    <col min="3" max="3" width="13" customWidth="1"/>
    <col min="4" max="4" width="13.85546875" customWidth="1"/>
    <col min="5" max="5" width="14.28515625" customWidth="1"/>
    <col min="6" max="6" width="4.7109375" customWidth="1"/>
    <col min="7" max="7" width="5" customWidth="1"/>
    <col min="8" max="8" width="32.140625" customWidth="1"/>
    <col min="9" max="9" width="23.85546875" customWidth="1"/>
    <col min="10" max="10" width="14.5703125" customWidth="1"/>
  </cols>
  <sheetData>
    <row r="1" spans="1:13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3" x14ac:dyDescent="0.25">
      <c r="A2" s="40" t="s">
        <v>682</v>
      </c>
      <c r="B2" s="40" t="s">
        <v>681</v>
      </c>
      <c r="C2" s="41">
        <v>45413</v>
      </c>
      <c r="D2" s="48">
        <v>45433</v>
      </c>
      <c r="E2" s="52">
        <f t="shared" ref="E2:E68" si="0">D2-C2+1</f>
        <v>21</v>
      </c>
      <c r="F2" s="40">
        <v>24</v>
      </c>
      <c r="G2" s="40" t="s">
        <v>12</v>
      </c>
      <c r="H2" s="40" t="s">
        <v>797</v>
      </c>
      <c r="I2" s="40" t="s">
        <v>798</v>
      </c>
      <c r="J2" s="67" t="s">
        <v>13</v>
      </c>
      <c r="K2" s="40"/>
      <c r="L2" s="40"/>
      <c r="M2" s="42"/>
    </row>
    <row r="3" spans="1:13" x14ac:dyDescent="0.25">
      <c r="A3" s="40" t="s">
        <v>816</v>
      </c>
      <c r="B3" s="40" t="s">
        <v>817</v>
      </c>
      <c r="C3" s="41">
        <v>45413</v>
      </c>
      <c r="D3" s="48">
        <v>45420</v>
      </c>
      <c r="E3" s="52">
        <f t="shared" si="0"/>
        <v>8</v>
      </c>
      <c r="F3" s="40">
        <v>39</v>
      </c>
      <c r="G3" s="40" t="s">
        <v>12</v>
      </c>
      <c r="H3" s="40" t="s">
        <v>818</v>
      </c>
      <c r="I3" s="40" t="s">
        <v>16</v>
      </c>
      <c r="J3" s="67" t="s">
        <v>13</v>
      </c>
      <c r="K3" s="40"/>
      <c r="L3" s="40"/>
      <c r="M3" s="42"/>
    </row>
    <row r="4" spans="1:13" x14ac:dyDescent="0.25">
      <c r="A4" s="40" t="s">
        <v>706</v>
      </c>
      <c r="B4" s="40" t="s">
        <v>707</v>
      </c>
      <c r="C4" s="41">
        <v>45414</v>
      </c>
      <c r="D4" s="41">
        <v>45415</v>
      </c>
      <c r="E4" s="52">
        <f t="shared" si="0"/>
        <v>2</v>
      </c>
      <c r="F4" s="40">
        <v>31</v>
      </c>
      <c r="G4" s="40" t="s">
        <v>12</v>
      </c>
      <c r="H4" s="40" t="s">
        <v>708</v>
      </c>
      <c r="I4" s="40" t="s">
        <v>709</v>
      </c>
      <c r="J4" s="40"/>
      <c r="K4" s="40"/>
      <c r="L4" s="40"/>
      <c r="M4" s="42"/>
    </row>
    <row r="5" spans="1:13" s="25" customFormat="1" x14ac:dyDescent="0.25">
      <c r="A5" s="84" t="s">
        <v>825</v>
      </c>
      <c r="B5" s="84" t="s">
        <v>826</v>
      </c>
      <c r="C5" s="85">
        <v>45415</v>
      </c>
      <c r="D5" s="85">
        <v>45434</v>
      </c>
      <c r="E5" s="52">
        <f t="shared" si="0"/>
        <v>20</v>
      </c>
      <c r="F5" s="84">
        <v>75</v>
      </c>
      <c r="G5" s="84" t="s">
        <v>14</v>
      </c>
      <c r="H5" s="84" t="s">
        <v>827</v>
      </c>
      <c r="I5" s="84" t="s">
        <v>21</v>
      </c>
      <c r="J5" s="84"/>
      <c r="K5" s="84"/>
      <c r="L5" s="84"/>
      <c r="M5" s="73"/>
    </row>
    <row r="6" spans="1:13" s="19" customFormat="1" x14ac:dyDescent="0.25">
      <c r="A6" s="40" t="s">
        <v>731</v>
      </c>
      <c r="B6" s="40" t="s">
        <v>729</v>
      </c>
      <c r="C6" s="41">
        <v>45415</v>
      </c>
      <c r="D6" s="41">
        <v>45429</v>
      </c>
      <c r="E6" s="52">
        <f t="shared" si="0"/>
        <v>15</v>
      </c>
      <c r="F6" s="40">
        <v>39</v>
      </c>
      <c r="G6" s="40" t="s">
        <v>14</v>
      </c>
      <c r="H6" s="40" t="s">
        <v>730</v>
      </c>
      <c r="I6" s="75" t="s">
        <v>16</v>
      </c>
      <c r="J6" s="40"/>
      <c r="K6" s="40"/>
      <c r="L6" s="40"/>
      <c r="M6" s="42"/>
    </row>
    <row r="7" spans="1:13" x14ac:dyDescent="0.25">
      <c r="A7" s="40" t="s">
        <v>732</v>
      </c>
      <c r="B7" s="41" t="s">
        <v>733</v>
      </c>
      <c r="C7" s="41">
        <v>45417</v>
      </c>
      <c r="D7" s="41">
        <v>45419</v>
      </c>
      <c r="E7" s="52">
        <f t="shared" si="0"/>
        <v>3</v>
      </c>
      <c r="F7" s="40">
        <v>33</v>
      </c>
      <c r="G7" s="40" t="s">
        <v>12</v>
      </c>
      <c r="H7" s="40" t="s">
        <v>734</v>
      </c>
      <c r="I7" s="40" t="s">
        <v>1201</v>
      </c>
      <c r="J7" s="40"/>
      <c r="K7" s="40"/>
      <c r="L7" s="40"/>
      <c r="M7" s="42"/>
    </row>
    <row r="8" spans="1:13" x14ac:dyDescent="0.25">
      <c r="A8" s="40" t="s">
        <v>725</v>
      </c>
      <c r="B8" s="40" t="s">
        <v>726</v>
      </c>
      <c r="C8" s="41">
        <v>45418</v>
      </c>
      <c r="D8" s="41">
        <v>45426</v>
      </c>
      <c r="E8" s="52">
        <f t="shared" si="0"/>
        <v>9</v>
      </c>
      <c r="F8" s="75">
        <v>35</v>
      </c>
      <c r="G8" s="40" t="s">
        <v>12</v>
      </c>
      <c r="H8" s="40" t="s">
        <v>727</v>
      </c>
      <c r="I8" s="40" t="s">
        <v>728</v>
      </c>
      <c r="J8" s="40"/>
      <c r="K8" s="40"/>
      <c r="L8" s="40"/>
      <c r="M8" s="42"/>
    </row>
    <row r="9" spans="1:13" s="19" customFormat="1" x14ac:dyDescent="0.25">
      <c r="A9" s="40" t="s">
        <v>912</v>
      </c>
      <c r="B9" s="40" t="s">
        <v>913</v>
      </c>
      <c r="C9" s="41">
        <v>45418</v>
      </c>
      <c r="D9" s="41"/>
      <c r="E9" s="52">
        <f t="shared" si="0"/>
        <v>-45417</v>
      </c>
      <c r="F9" s="67">
        <v>25</v>
      </c>
      <c r="G9" s="40" t="s">
        <v>12</v>
      </c>
      <c r="H9" s="40" t="s">
        <v>914</v>
      </c>
      <c r="I9" s="75" t="s">
        <v>915</v>
      </c>
      <c r="J9" s="40"/>
      <c r="K9" s="40"/>
      <c r="L9" s="40"/>
      <c r="M9" s="42"/>
    </row>
    <row r="10" spans="1:13" x14ac:dyDescent="0.25">
      <c r="A10" s="40" t="s">
        <v>803</v>
      </c>
      <c r="B10" s="40" t="s">
        <v>805</v>
      </c>
      <c r="C10" s="41">
        <v>45419</v>
      </c>
      <c r="D10" s="74">
        <v>45429</v>
      </c>
      <c r="E10" s="52">
        <f t="shared" si="0"/>
        <v>11</v>
      </c>
      <c r="F10" s="40">
        <v>20</v>
      </c>
      <c r="G10" s="40" t="s">
        <v>14</v>
      </c>
      <c r="H10" s="40" t="s">
        <v>804</v>
      </c>
      <c r="I10" s="40" t="s">
        <v>806</v>
      </c>
      <c r="J10" s="67"/>
      <c r="K10" s="40"/>
      <c r="L10" s="40"/>
      <c r="M10" s="42"/>
    </row>
    <row r="11" spans="1:13" x14ac:dyDescent="0.25">
      <c r="A11" s="40" t="s">
        <v>799</v>
      </c>
      <c r="B11" s="40" t="s">
        <v>800</v>
      </c>
      <c r="C11" s="41">
        <v>45419</v>
      </c>
      <c r="D11" s="41">
        <v>45433</v>
      </c>
      <c r="E11" s="52">
        <f t="shared" si="0"/>
        <v>15</v>
      </c>
      <c r="F11" s="40">
        <v>59</v>
      </c>
      <c r="G11" s="40" t="s">
        <v>12</v>
      </c>
      <c r="H11" s="40" t="s">
        <v>801</v>
      </c>
      <c r="I11" s="40" t="s">
        <v>802</v>
      </c>
      <c r="J11" s="40"/>
      <c r="K11" s="40"/>
      <c r="L11" s="40"/>
      <c r="M11" s="42"/>
    </row>
    <row r="12" spans="1:13" s="19" customFormat="1" x14ac:dyDescent="0.25">
      <c r="A12" s="40" t="s">
        <v>793</v>
      </c>
      <c r="B12" s="40" t="s">
        <v>794</v>
      </c>
      <c r="C12" s="41">
        <v>45419</v>
      </c>
      <c r="D12" s="74">
        <v>45433</v>
      </c>
      <c r="E12" s="52">
        <f t="shared" si="0"/>
        <v>15</v>
      </c>
      <c r="F12" s="40">
        <v>47</v>
      </c>
      <c r="G12" s="40" t="s">
        <v>14</v>
      </c>
      <c r="H12" s="40" t="s">
        <v>795</v>
      </c>
      <c r="I12" s="75" t="s">
        <v>796</v>
      </c>
      <c r="J12" s="67"/>
      <c r="K12" s="40"/>
      <c r="L12" s="40"/>
      <c r="M12" s="42"/>
    </row>
    <row r="13" spans="1:13" x14ac:dyDescent="0.25">
      <c r="A13" s="40" t="s">
        <v>909</v>
      </c>
      <c r="B13" s="40" t="s">
        <v>910</v>
      </c>
      <c r="C13" s="41">
        <v>45420</v>
      </c>
      <c r="D13" s="41"/>
      <c r="E13" s="52">
        <f t="shared" si="0"/>
        <v>-45419</v>
      </c>
      <c r="F13" s="40">
        <v>44</v>
      </c>
      <c r="G13" s="40" t="s">
        <v>12</v>
      </c>
      <c r="H13" s="40" t="s">
        <v>911</v>
      </c>
      <c r="I13" s="40" t="s">
        <v>20</v>
      </c>
      <c r="J13" s="40"/>
      <c r="K13" s="40"/>
      <c r="L13" s="40"/>
      <c r="M13" s="42"/>
    </row>
    <row r="14" spans="1:13" s="93" customFormat="1" x14ac:dyDescent="0.25">
      <c r="A14" s="88" t="s">
        <v>810</v>
      </c>
      <c r="B14" s="88" t="s">
        <v>209</v>
      </c>
      <c r="C14" s="89">
        <v>45420</v>
      </c>
      <c r="D14" s="89">
        <v>45436</v>
      </c>
      <c r="E14" s="90">
        <f t="shared" si="0"/>
        <v>17</v>
      </c>
      <c r="F14" s="88">
        <v>21</v>
      </c>
      <c r="G14" s="88" t="s">
        <v>12</v>
      </c>
      <c r="H14" s="88" t="s">
        <v>811</v>
      </c>
      <c r="I14" s="91" t="s">
        <v>757</v>
      </c>
      <c r="J14" s="88"/>
      <c r="K14" s="88"/>
      <c r="L14" s="88"/>
    </row>
    <row r="15" spans="1:13" s="93" customFormat="1" x14ac:dyDescent="0.25">
      <c r="A15" s="88" t="s">
        <v>828</v>
      </c>
      <c r="B15" s="88" t="s">
        <v>829</v>
      </c>
      <c r="C15" s="89">
        <v>45421</v>
      </c>
      <c r="D15" s="89">
        <v>45439</v>
      </c>
      <c r="E15" s="90">
        <f t="shared" si="0"/>
        <v>19</v>
      </c>
      <c r="F15" s="88">
        <v>21</v>
      </c>
      <c r="G15" s="88" t="s">
        <v>12</v>
      </c>
      <c r="H15" s="88" t="s">
        <v>830</v>
      </c>
      <c r="I15" s="91" t="s">
        <v>757</v>
      </c>
      <c r="J15" s="88"/>
      <c r="K15" s="88"/>
      <c r="L15" s="88"/>
    </row>
    <row r="16" spans="1:13" x14ac:dyDescent="0.25">
      <c r="A16" s="40" t="s">
        <v>812</v>
      </c>
      <c r="B16" s="40" t="s">
        <v>813</v>
      </c>
      <c r="C16" s="41">
        <v>45421</v>
      </c>
      <c r="D16" s="48">
        <v>45425</v>
      </c>
      <c r="E16" s="52">
        <f t="shared" si="0"/>
        <v>5</v>
      </c>
      <c r="F16" s="40">
        <v>21</v>
      </c>
      <c r="G16" s="40" t="s">
        <v>14</v>
      </c>
      <c r="H16" s="40" t="s">
        <v>814</v>
      </c>
      <c r="I16" s="40" t="s">
        <v>815</v>
      </c>
      <c r="J16" s="67" t="s">
        <v>13</v>
      </c>
      <c r="K16" s="40"/>
      <c r="L16" s="40"/>
      <c r="M16" s="42"/>
    </row>
    <row r="17" spans="1:13" x14ac:dyDescent="0.25">
      <c r="A17" s="40" t="s">
        <v>774</v>
      </c>
      <c r="B17" s="40" t="s">
        <v>775</v>
      </c>
      <c r="C17" s="41">
        <v>45422</v>
      </c>
      <c r="D17" s="74">
        <v>45429</v>
      </c>
      <c r="E17" s="52">
        <f t="shared" si="0"/>
        <v>8</v>
      </c>
      <c r="F17" s="40">
        <v>68</v>
      </c>
      <c r="G17" s="40" t="s">
        <v>12</v>
      </c>
      <c r="H17" s="40" t="s">
        <v>776</v>
      </c>
      <c r="I17" s="40" t="s">
        <v>777</v>
      </c>
      <c r="J17" s="67"/>
      <c r="K17" s="40"/>
      <c r="L17" s="40"/>
      <c r="M17" s="42"/>
    </row>
    <row r="18" spans="1:13" x14ac:dyDescent="0.25">
      <c r="A18" s="40" t="s">
        <v>743</v>
      </c>
      <c r="B18" s="40" t="s">
        <v>744</v>
      </c>
      <c r="C18" s="41">
        <v>45422</v>
      </c>
      <c r="D18" s="41">
        <v>45429</v>
      </c>
      <c r="E18" s="52">
        <f t="shared" si="0"/>
        <v>8</v>
      </c>
      <c r="F18" s="40">
        <v>19</v>
      </c>
      <c r="G18" s="40" t="s">
        <v>12</v>
      </c>
      <c r="H18" s="40" t="s">
        <v>745</v>
      </c>
      <c r="I18" s="40" t="s">
        <v>746</v>
      </c>
      <c r="J18" s="40"/>
      <c r="K18" s="40"/>
      <c r="L18" s="40"/>
      <c r="M18" s="42"/>
    </row>
    <row r="19" spans="1:13" x14ac:dyDescent="0.25">
      <c r="A19" s="40" t="s">
        <v>739</v>
      </c>
      <c r="B19" s="40" t="s">
        <v>740</v>
      </c>
      <c r="C19" s="41">
        <v>45422</v>
      </c>
      <c r="D19" s="41">
        <v>45429</v>
      </c>
      <c r="E19" s="52">
        <f t="shared" si="0"/>
        <v>8</v>
      </c>
      <c r="F19" s="40">
        <v>81</v>
      </c>
      <c r="G19" s="40" t="s">
        <v>12</v>
      </c>
      <c r="H19" s="40" t="s">
        <v>741</v>
      </c>
      <c r="I19" s="40" t="s">
        <v>742</v>
      </c>
      <c r="J19" s="40"/>
      <c r="K19" s="40"/>
      <c r="L19" s="40"/>
      <c r="M19" s="42"/>
    </row>
    <row r="20" spans="1:13" s="19" customFormat="1" x14ac:dyDescent="0.25">
      <c r="A20" s="40" t="s">
        <v>770</v>
      </c>
      <c r="B20" s="40" t="s">
        <v>771</v>
      </c>
      <c r="C20" s="41">
        <v>45423</v>
      </c>
      <c r="D20" s="41">
        <v>45429</v>
      </c>
      <c r="E20" s="52">
        <f t="shared" si="0"/>
        <v>7</v>
      </c>
      <c r="F20" s="40">
        <v>49</v>
      </c>
      <c r="G20" s="40" t="s">
        <v>14</v>
      </c>
      <c r="H20" s="40" t="s">
        <v>772</v>
      </c>
      <c r="I20" s="75" t="s">
        <v>773</v>
      </c>
      <c r="J20" s="40"/>
      <c r="K20" s="40"/>
      <c r="L20" s="40"/>
      <c r="M20" s="42"/>
    </row>
    <row r="21" spans="1:13" s="19" customFormat="1" x14ac:dyDescent="0.25">
      <c r="A21" s="40" t="s">
        <v>907</v>
      </c>
      <c r="B21" s="40" t="s">
        <v>848</v>
      </c>
      <c r="C21" s="41">
        <v>45425</v>
      </c>
      <c r="D21" s="41">
        <v>45441</v>
      </c>
      <c r="E21" s="52">
        <f t="shared" si="0"/>
        <v>17</v>
      </c>
      <c r="F21" s="40">
        <v>43</v>
      </c>
      <c r="G21" s="40" t="s">
        <v>14</v>
      </c>
      <c r="H21" s="40" t="s">
        <v>849</v>
      </c>
      <c r="I21" s="75" t="s">
        <v>866</v>
      </c>
      <c r="J21" s="71" t="s">
        <v>867</v>
      </c>
      <c r="K21" s="40"/>
      <c r="L21" s="40"/>
      <c r="M21" s="42"/>
    </row>
    <row r="22" spans="1:13" s="19" customFormat="1" x14ac:dyDescent="0.25">
      <c r="A22" s="40" t="s">
        <v>847</v>
      </c>
      <c r="B22" s="40" t="s">
        <v>908</v>
      </c>
      <c r="C22" s="41">
        <v>45424</v>
      </c>
      <c r="D22" s="41">
        <v>45448</v>
      </c>
      <c r="E22" s="52">
        <f t="shared" si="0"/>
        <v>25</v>
      </c>
      <c r="F22" s="40">
        <v>38</v>
      </c>
      <c r="G22" s="40" t="s">
        <v>12</v>
      </c>
      <c r="H22" s="40" t="s">
        <v>939</v>
      </c>
      <c r="I22" s="75" t="s">
        <v>940</v>
      </c>
      <c r="J22" s="40"/>
      <c r="K22" s="40"/>
      <c r="L22" s="40"/>
      <c r="M22" s="42"/>
    </row>
    <row r="23" spans="1:13" x14ac:dyDescent="0.25">
      <c r="A23" s="40" t="s">
        <v>751</v>
      </c>
      <c r="B23" s="40" t="s">
        <v>752</v>
      </c>
      <c r="C23" s="41">
        <v>45426</v>
      </c>
      <c r="D23" s="48">
        <v>45428</v>
      </c>
      <c r="E23" s="52">
        <f t="shared" si="0"/>
        <v>3</v>
      </c>
      <c r="F23" s="40">
        <v>35</v>
      </c>
      <c r="G23" s="40" t="s">
        <v>14</v>
      </c>
      <c r="H23" s="40" t="s">
        <v>753</v>
      </c>
      <c r="I23" s="40" t="s">
        <v>107</v>
      </c>
      <c r="J23" s="67" t="s">
        <v>13</v>
      </c>
      <c r="K23" s="40"/>
      <c r="L23" s="40"/>
      <c r="M23" s="42"/>
    </row>
    <row r="24" spans="1:13" s="65" customFormat="1" x14ac:dyDescent="0.25">
      <c r="A24" s="60" t="s">
        <v>781</v>
      </c>
      <c r="B24" s="60" t="s">
        <v>782</v>
      </c>
      <c r="C24" s="61">
        <v>45426</v>
      </c>
      <c r="D24" s="61">
        <v>45429</v>
      </c>
      <c r="E24" s="63">
        <f t="shared" si="0"/>
        <v>4</v>
      </c>
      <c r="F24" s="60">
        <v>64</v>
      </c>
      <c r="G24" s="60" t="s">
        <v>12</v>
      </c>
      <c r="H24" s="60" t="s">
        <v>783</v>
      </c>
      <c r="I24" s="60" t="s">
        <v>784</v>
      </c>
      <c r="J24" s="64"/>
      <c r="K24" s="60"/>
      <c r="L24" s="60"/>
    </row>
    <row r="25" spans="1:13" x14ac:dyDescent="0.25">
      <c r="A25" s="40" t="s">
        <v>785</v>
      </c>
      <c r="B25" s="40" t="s">
        <v>786</v>
      </c>
      <c r="C25" s="41">
        <v>45427</v>
      </c>
      <c r="D25" s="74">
        <v>45433</v>
      </c>
      <c r="E25" s="52">
        <f t="shared" si="0"/>
        <v>7</v>
      </c>
      <c r="F25" s="40">
        <v>38</v>
      </c>
      <c r="G25" s="40" t="s">
        <v>14</v>
      </c>
      <c r="H25" s="40" t="s">
        <v>787</v>
      </c>
      <c r="I25" s="40" t="s">
        <v>788</v>
      </c>
      <c r="J25" s="67"/>
      <c r="K25" s="40"/>
      <c r="L25" s="40"/>
      <c r="M25" s="42"/>
    </row>
    <row r="26" spans="1:13" s="93" customFormat="1" x14ac:dyDescent="0.25">
      <c r="A26" s="88" t="s">
        <v>904</v>
      </c>
      <c r="B26" s="88" t="s">
        <v>905</v>
      </c>
      <c r="C26" s="89">
        <v>45428</v>
      </c>
      <c r="D26" s="96">
        <v>45468</v>
      </c>
      <c r="E26" s="90">
        <f t="shared" si="0"/>
        <v>41</v>
      </c>
      <c r="F26" s="88">
        <v>21</v>
      </c>
      <c r="G26" s="88" t="s">
        <v>12</v>
      </c>
      <c r="H26" s="88" t="s">
        <v>906</v>
      </c>
      <c r="I26" s="91" t="s">
        <v>757</v>
      </c>
      <c r="J26" s="95"/>
      <c r="K26" s="95"/>
      <c r="L26" s="88"/>
    </row>
    <row r="27" spans="1:13" x14ac:dyDescent="0.25">
      <c r="A27" s="40" t="s">
        <v>807</v>
      </c>
      <c r="B27" s="40" t="s">
        <v>808</v>
      </c>
      <c r="C27" s="41">
        <v>45428</v>
      </c>
      <c r="D27" s="41">
        <v>45436</v>
      </c>
      <c r="E27" s="52">
        <f t="shared" si="0"/>
        <v>9</v>
      </c>
      <c r="F27" s="40">
        <v>71</v>
      </c>
      <c r="G27" s="40" t="s">
        <v>14</v>
      </c>
      <c r="H27" s="40" t="s">
        <v>809</v>
      </c>
      <c r="I27" s="40" t="s">
        <v>25</v>
      </c>
      <c r="J27" s="40"/>
      <c r="K27" s="40"/>
      <c r="L27" s="40"/>
      <c r="M27" s="42"/>
    </row>
    <row r="28" spans="1:13" x14ac:dyDescent="0.25">
      <c r="A28" s="40" t="s">
        <v>762</v>
      </c>
      <c r="B28" s="40" t="s">
        <v>763</v>
      </c>
      <c r="C28" s="41">
        <v>45428</v>
      </c>
      <c r="D28" s="48">
        <v>45428</v>
      </c>
      <c r="E28" s="52">
        <f t="shared" si="0"/>
        <v>1</v>
      </c>
      <c r="F28" s="40">
        <v>42</v>
      </c>
      <c r="G28" s="40" t="s">
        <v>12</v>
      </c>
      <c r="H28" s="40" t="s">
        <v>764</v>
      </c>
      <c r="I28" s="40" t="s">
        <v>765</v>
      </c>
      <c r="J28" s="67" t="s">
        <v>13</v>
      </c>
      <c r="K28" s="40"/>
      <c r="L28" s="40"/>
      <c r="M28" s="42"/>
    </row>
    <row r="29" spans="1:13" x14ac:dyDescent="0.25">
      <c r="A29" s="40" t="s">
        <v>861</v>
      </c>
      <c r="B29" s="40" t="s">
        <v>862</v>
      </c>
      <c r="C29" s="41">
        <v>45429</v>
      </c>
      <c r="D29" s="41">
        <v>45443</v>
      </c>
      <c r="E29" s="52">
        <f t="shared" si="0"/>
        <v>15</v>
      </c>
      <c r="F29" s="40">
        <v>40</v>
      </c>
      <c r="G29" s="40" t="s">
        <v>14</v>
      </c>
      <c r="H29" s="40" t="s">
        <v>863</v>
      </c>
      <c r="I29" s="75" t="s">
        <v>864</v>
      </c>
      <c r="J29" s="40"/>
      <c r="K29" s="40"/>
      <c r="L29" s="40"/>
      <c r="M29" s="42"/>
    </row>
    <row r="30" spans="1:13" x14ac:dyDescent="0.25">
      <c r="A30" s="40" t="s">
        <v>766</v>
      </c>
      <c r="B30" s="40" t="s">
        <v>767</v>
      </c>
      <c r="C30" s="41">
        <v>45429</v>
      </c>
      <c r="D30" s="48">
        <v>45431</v>
      </c>
      <c r="E30" s="52">
        <f t="shared" si="0"/>
        <v>3</v>
      </c>
      <c r="F30" s="40">
        <v>53</v>
      </c>
      <c r="G30" s="40" t="s">
        <v>14</v>
      </c>
      <c r="H30" s="40" t="s">
        <v>768</v>
      </c>
      <c r="I30" s="75" t="s">
        <v>769</v>
      </c>
      <c r="J30" s="67" t="s">
        <v>13</v>
      </c>
      <c r="K30" s="40"/>
      <c r="L30" s="40"/>
      <c r="M30" s="42"/>
    </row>
    <row r="31" spans="1:13" x14ac:dyDescent="0.25">
      <c r="A31" s="40" t="s">
        <v>868</v>
      </c>
      <c r="B31" s="40" t="s">
        <v>869</v>
      </c>
      <c r="C31" s="41">
        <v>45429</v>
      </c>
      <c r="D31" s="74">
        <v>45440</v>
      </c>
      <c r="E31" s="52">
        <f t="shared" si="0"/>
        <v>12</v>
      </c>
      <c r="F31" s="40">
        <v>42</v>
      </c>
      <c r="G31" s="40" t="s">
        <v>14</v>
      </c>
      <c r="H31" s="40" t="s">
        <v>870</v>
      </c>
      <c r="I31" s="40" t="s">
        <v>936</v>
      </c>
      <c r="J31" s="71" t="s">
        <v>45</v>
      </c>
      <c r="K31" s="40"/>
      <c r="L31" s="40"/>
      <c r="M31" s="42"/>
    </row>
    <row r="32" spans="1:13" s="93" customFormat="1" ht="14.25" customHeight="1" x14ac:dyDescent="0.25">
      <c r="A32" s="88" t="s">
        <v>754</v>
      </c>
      <c r="B32" s="88" t="s">
        <v>755</v>
      </c>
      <c r="C32" s="89">
        <v>45431</v>
      </c>
      <c r="D32" s="94">
        <v>45432</v>
      </c>
      <c r="E32" s="90">
        <f t="shared" si="0"/>
        <v>2</v>
      </c>
      <c r="F32" s="88">
        <v>50</v>
      </c>
      <c r="G32" s="88" t="s">
        <v>12</v>
      </c>
      <c r="H32" s="88" t="s">
        <v>756</v>
      </c>
      <c r="I32" s="91" t="s">
        <v>757</v>
      </c>
      <c r="J32" s="95" t="s">
        <v>13</v>
      </c>
      <c r="K32" s="88"/>
      <c r="L32" s="88"/>
    </row>
    <row r="33" spans="1:13" x14ac:dyDescent="0.25">
      <c r="A33" s="40" t="s">
        <v>822</v>
      </c>
      <c r="B33" s="40" t="s">
        <v>823</v>
      </c>
      <c r="C33" s="41">
        <v>45432</v>
      </c>
      <c r="D33" s="41">
        <v>45441</v>
      </c>
      <c r="E33" s="52">
        <f t="shared" si="0"/>
        <v>10</v>
      </c>
      <c r="F33" s="40">
        <v>37</v>
      </c>
      <c r="G33" s="40" t="s">
        <v>12</v>
      </c>
      <c r="H33" s="40" t="s">
        <v>824</v>
      </c>
      <c r="I33" s="40" t="s">
        <v>20</v>
      </c>
      <c r="J33" s="40"/>
      <c r="K33" s="40"/>
      <c r="L33" s="40"/>
      <c r="M33" s="42"/>
    </row>
    <row r="34" spans="1:13" s="19" customFormat="1" x14ac:dyDescent="0.25">
      <c r="A34" s="40" t="s">
        <v>901</v>
      </c>
      <c r="B34" s="40" t="s">
        <v>902</v>
      </c>
      <c r="C34" s="41">
        <v>45433</v>
      </c>
      <c r="D34" s="74">
        <v>45453</v>
      </c>
      <c r="E34" s="52">
        <f t="shared" si="0"/>
        <v>21</v>
      </c>
      <c r="F34" s="40">
        <v>39</v>
      </c>
      <c r="G34" s="40" t="s">
        <v>14</v>
      </c>
      <c r="H34" s="40" t="s">
        <v>903</v>
      </c>
      <c r="I34" s="75" t="s">
        <v>938</v>
      </c>
      <c r="J34" s="67"/>
      <c r="K34" s="40"/>
      <c r="L34" s="40"/>
      <c r="M34" s="42"/>
    </row>
    <row r="35" spans="1:13" s="19" customFormat="1" x14ac:dyDescent="0.25">
      <c r="A35" s="40" t="s">
        <v>841</v>
      </c>
      <c r="B35" s="40" t="s">
        <v>842</v>
      </c>
      <c r="C35" s="41">
        <v>45433</v>
      </c>
      <c r="D35" s="48">
        <v>45446</v>
      </c>
      <c r="E35" s="52">
        <f t="shared" si="0"/>
        <v>14</v>
      </c>
      <c r="F35" s="40">
        <v>29</v>
      </c>
      <c r="G35" s="40" t="s">
        <v>14</v>
      </c>
      <c r="H35" s="40" t="s">
        <v>843</v>
      </c>
      <c r="I35" s="75" t="s">
        <v>865</v>
      </c>
      <c r="J35" s="67" t="s">
        <v>13</v>
      </c>
      <c r="K35" s="40"/>
      <c r="L35" s="40"/>
      <c r="M35" s="42"/>
    </row>
    <row r="36" spans="1:13" s="26" customFormat="1" x14ac:dyDescent="0.25">
      <c r="A36" s="40" t="s">
        <v>898</v>
      </c>
      <c r="B36" s="40" t="s">
        <v>899</v>
      </c>
      <c r="C36" s="41">
        <v>45434</v>
      </c>
      <c r="D36" s="48">
        <v>45449</v>
      </c>
      <c r="E36" s="52">
        <f t="shared" si="0"/>
        <v>16</v>
      </c>
      <c r="F36" s="40">
        <v>42</v>
      </c>
      <c r="G36" s="40" t="s">
        <v>12</v>
      </c>
      <c r="H36" s="40" t="s">
        <v>900</v>
      </c>
      <c r="I36" s="40" t="s">
        <v>16</v>
      </c>
      <c r="J36" s="67" t="s">
        <v>13</v>
      </c>
      <c r="K36" s="40"/>
      <c r="L36" s="40"/>
      <c r="M36" s="42"/>
    </row>
    <row r="37" spans="1:13" x14ac:dyDescent="0.25">
      <c r="A37" s="40" t="s">
        <v>896</v>
      </c>
      <c r="B37" s="40" t="s">
        <v>897</v>
      </c>
      <c r="C37" s="41">
        <v>45435</v>
      </c>
      <c r="D37" s="41">
        <v>45462</v>
      </c>
      <c r="E37" s="52">
        <f t="shared" si="0"/>
        <v>28</v>
      </c>
      <c r="F37" s="40">
        <v>63</v>
      </c>
      <c r="G37" s="40" t="s">
        <v>12</v>
      </c>
      <c r="H37" s="40" t="s">
        <v>987</v>
      </c>
      <c r="I37" s="40" t="s">
        <v>986</v>
      </c>
      <c r="J37" s="40"/>
      <c r="K37" s="40"/>
      <c r="L37" s="40"/>
      <c r="M37" s="42"/>
    </row>
    <row r="38" spans="1:13" x14ac:dyDescent="0.25">
      <c r="A38" s="40" t="s">
        <v>853</v>
      </c>
      <c r="B38" s="40" t="s">
        <v>854</v>
      </c>
      <c r="C38" s="41">
        <v>45436</v>
      </c>
      <c r="D38" s="41">
        <v>45439</v>
      </c>
      <c r="E38" s="52">
        <f t="shared" si="0"/>
        <v>4</v>
      </c>
      <c r="F38" s="40">
        <v>23</v>
      </c>
      <c r="G38" s="40" t="s">
        <v>14</v>
      </c>
      <c r="H38" s="40" t="s">
        <v>855</v>
      </c>
      <c r="I38" s="40" t="s">
        <v>856</v>
      </c>
      <c r="J38" s="71" t="s">
        <v>45</v>
      </c>
      <c r="K38" s="40"/>
      <c r="L38" s="40"/>
      <c r="M38" s="42"/>
    </row>
    <row r="39" spans="1:13" s="19" customFormat="1" x14ac:dyDescent="0.25">
      <c r="A39" s="40" t="s">
        <v>893</v>
      </c>
      <c r="B39" s="40" t="s">
        <v>894</v>
      </c>
      <c r="C39" s="41">
        <v>45437</v>
      </c>
      <c r="D39" s="41">
        <v>45450</v>
      </c>
      <c r="E39" s="52">
        <f t="shared" si="0"/>
        <v>14</v>
      </c>
      <c r="F39" s="40">
        <v>34</v>
      </c>
      <c r="G39" s="40" t="s">
        <v>12</v>
      </c>
      <c r="H39" s="40" t="s">
        <v>895</v>
      </c>
      <c r="I39" s="75" t="s">
        <v>946</v>
      </c>
      <c r="J39" s="40"/>
      <c r="K39" s="40"/>
      <c r="L39" s="40"/>
      <c r="M39" s="42"/>
    </row>
    <row r="40" spans="1:13" x14ac:dyDescent="0.25">
      <c r="A40" s="40" t="s">
        <v>891</v>
      </c>
      <c r="B40" s="40" t="s">
        <v>892</v>
      </c>
      <c r="C40" s="41">
        <v>45438</v>
      </c>
      <c r="D40" s="41">
        <v>45443</v>
      </c>
      <c r="E40" s="52">
        <f t="shared" si="0"/>
        <v>6</v>
      </c>
      <c r="F40" s="40">
        <v>12</v>
      </c>
      <c r="G40" s="40" t="s">
        <v>14</v>
      </c>
      <c r="H40" s="40" t="s">
        <v>944</v>
      </c>
      <c r="I40" s="40" t="s">
        <v>945</v>
      </c>
      <c r="J40" s="71"/>
      <c r="K40" s="86"/>
      <c r="L40" s="40"/>
      <c r="M40" s="42"/>
    </row>
    <row r="41" spans="1:13" s="19" customFormat="1" x14ac:dyDescent="0.25">
      <c r="A41" s="40" t="s">
        <v>889</v>
      </c>
      <c r="B41" s="40" t="s">
        <v>890</v>
      </c>
      <c r="C41" s="41">
        <v>45439</v>
      </c>
      <c r="D41" s="74">
        <v>45463</v>
      </c>
      <c r="E41" s="52">
        <f t="shared" si="0"/>
        <v>25</v>
      </c>
      <c r="F41" s="40">
        <v>38</v>
      </c>
      <c r="G41" s="40" t="s">
        <v>14</v>
      </c>
      <c r="H41" s="40" t="s">
        <v>969</v>
      </c>
      <c r="I41" s="75" t="s">
        <v>16</v>
      </c>
      <c r="J41" s="67"/>
      <c r="K41" s="40"/>
      <c r="L41" s="40"/>
      <c r="M41" s="42"/>
    </row>
    <row r="42" spans="1:13" x14ac:dyDescent="0.25">
      <c r="A42" s="40" t="s">
        <v>844</v>
      </c>
      <c r="B42" s="40" t="s">
        <v>845</v>
      </c>
      <c r="C42" s="41">
        <v>45439</v>
      </c>
      <c r="D42" s="74">
        <v>45447</v>
      </c>
      <c r="E42" s="52">
        <f t="shared" si="0"/>
        <v>9</v>
      </c>
      <c r="F42" s="40">
        <v>85</v>
      </c>
      <c r="G42" s="40" t="s">
        <v>12</v>
      </c>
      <c r="H42" s="40" t="s">
        <v>846</v>
      </c>
      <c r="I42" s="40" t="s">
        <v>716</v>
      </c>
      <c r="J42" s="67"/>
      <c r="K42" s="40"/>
      <c r="L42" s="40"/>
      <c r="M42" s="42"/>
    </row>
    <row r="43" spans="1:13" x14ac:dyDescent="0.25">
      <c r="A43" s="40" t="s">
        <v>857</v>
      </c>
      <c r="B43" s="40" t="s">
        <v>858</v>
      </c>
      <c r="C43" s="41">
        <v>45439</v>
      </c>
      <c r="D43" s="41">
        <v>45443</v>
      </c>
      <c r="E43" s="52">
        <f t="shared" si="0"/>
        <v>5</v>
      </c>
      <c r="F43" s="40">
        <v>59</v>
      </c>
      <c r="G43" s="40" t="s">
        <v>12</v>
      </c>
      <c r="H43" s="40" t="s">
        <v>859</v>
      </c>
      <c r="I43" s="40" t="s">
        <v>860</v>
      </c>
      <c r="J43" s="40"/>
      <c r="K43" s="40"/>
      <c r="L43" s="40"/>
      <c r="M43" s="42"/>
    </row>
    <row r="44" spans="1:13" x14ac:dyDescent="0.25">
      <c r="A44" s="40" t="s">
        <v>883</v>
      </c>
      <c r="B44" s="40" t="s">
        <v>884</v>
      </c>
      <c r="C44" s="41">
        <v>45439</v>
      </c>
      <c r="D44" s="74">
        <v>45454</v>
      </c>
      <c r="E44" s="52">
        <f t="shared" si="0"/>
        <v>16</v>
      </c>
      <c r="F44" s="40">
        <v>38</v>
      </c>
      <c r="G44" s="40" t="s">
        <v>12</v>
      </c>
      <c r="H44" s="40" t="s">
        <v>885</v>
      </c>
      <c r="I44" s="40" t="s">
        <v>937</v>
      </c>
      <c r="J44" s="67"/>
      <c r="K44" s="40"/>
      <c r="L44" s="40"/>
      <c r="M44" s="42"/>
    </row>
    <row r="45" spans="1:13" s="93" customFormat="1" x14ac:dyDescent="0.25">
      <c r="A45" s="88" t="s">
        <v>917</v>
      </c>
      <c r="B45" s="88" t="s">
        <v>918</v>
      </c>
      <c r="C45" s="89">
        <v>45439</v>
      </c>
      <c r="D45" s="96">
        <v>45518</v>
      </c>
      <c r="E45" s="90">
        <f t="shared" si="0"/>
        <v>80</v>
      </c>
      <c r="F45" s="88">
        <v>43</v>
      </c>
      <c r="G45" s="88" t="s">
        <v>12</v>
      </c>
      <c r="H45" s="88" t="s">
        <v>919</v>
      </c>
      <c r="I45" s="91" t="s">
        <v>757</v>
      </c>
      <c r="J45" s="95"/>
      <c r="K45" s="88"/>
      <c r="L45" s="88"/>
    </row>
    <row r="46" spans="1:13" x14ac:dyDescent="0.25">
      <c r="A46" s="40" t="s">
        <v>886</v>
      </c>
      <c r="B46" s="40" t="s">
        <v>887</v>
      </c>
      <c r="C46" s="41">
        <v>45440</v>
      </c>
      <c r="D46" s="48">
        <v>45454</v>
      </c>
      <c r="E46" s="52">
        <f t="shared" si="0"/>
        <v>15</v>
      </c>
      <c r="F46" s="40">
        <v>12</v>
      </c>
      <c r="G46" s="40" t="s">
        <v>12</v>
      </c>
      <c r="H46" s="40" t="s">
        <v>888</v>
      </c>
      <c r="I46" s="40" t="s">
        <v>16</v>
      </c>
      <c r="J46" s="67" t="s">
        <v>13</v>
      </c>
      <c r="K46" s="40"/>
      <c r="L46" s="40"/>
      <c r="M46" s="42"/>
    </row>
    <row r="47" spans="1:13" x14ac:dyDescent="0.25">
      <c r="A47" s="40" t="s">
        <v>880</v>
      </c>
      <c r="B47" s="40" t="s">
        <v>881</v>
      </c>
      <c r="C47" s="41">
        <v>45440</v>
      </c>
      <c r="D47" s="41">
        <v>45457</v>
      </c>
      <c r="E47" s="52">
        <f t="shared" si="0"/>
        <v>18</v>
      </c>
      <c r="F47" s="40">
        <v>25</v>
      </c>
      <c r="G47" s="40" t="s">
        <v>12</v>
      </c>
      <c r="H47" s="40" t="s">
        <v>882</v>
      </c>
      <c r="I47" s="40" t="s">
        <v>932</v>
      </c>
      <c r="J47" s="71"/>
      <c r="K47" s="40"/>
      <c r="L47" s="40"/>
      <c r="M47" s="42"/>
    </row>
    <row r="48" spans="1:13" x14ac:dyDescent="0.25">
      <c r="A48" s="40" t="s">
        <v>876</v>
      </c>
      <c r="B48" s="40" t="s">
        <v>877</v>
      </c>
      <c r="C48" s="41">
        <v>45440</v>
      </c>
      <c r="D48" s="48">
        <v>45495</v>
      </c>
      <c r="E48" s="52">
        <f t="shared" si="0"/>
        <v>56</v>
      </c>
      <c r="F48" s="40">
        <v>18</v>
      </c>
      <c r="G48" s="40" t="s">
        <v>12</v>
      </c>
      <c r="H48" s="40" t="s">
        <v>878</v>
      </c>
      <c r="I48" s="40" t="s">
        <v>879</v>
      </c>
      <c r="J48" s="67" t="s">
        <v>13</v>
      </c>
      <c r="K48" s="40"/>
      <c r="L48" s="40"/>
      <c r="M48" s="42"/>
    </row>
    <row r="49" spans="1:13" x14ac:dyDescent="0.25">
      <c r="A49" s="40" t="s">
        <v>833</v>
      </c>
      <c r="B49" s="40" t="s">
        <v>838</v>
      </c>
      <c r="C49" s="41">
        <v>45441</v>
      </c>
      <c r="D49" s="41">
        <v>45447</v>
      </c>
      <c r="E49" s="52">
        <f t="shared" si="0"/>
        <v>7</v>
      </c>
      <c r="F49" s="40">
        <v>62</v>
      </c>
      <c r="G49" s="40" t="s">
        <v>14</v>
      </c>
      <c r="H49" s="40" t="s">
        <v>839</v>
      </c>
      <c r="I49" s="40" t="s">
        <v>840</v>
      </c>
      <c r="J49" s="40"/>
      <c r="K49" s="40"/>
      <c r="L49" s="40"/>
      <c r="M49" s="42"/>
    </row>
    <row r="50" spans="1:13" x14ac:dyDescent="0.25">
      <c r="A50" s="40" t="s">
        <v>874</v>
      </c>
      <c r="B50" s="40" t="s">
        <v>387</v>
      </c>
      <c r="C50" s="41">
        <v>45441</v>
      </c>
      <c r="D50" s="48">
        <v>45443</v>
      </c>
      <c r="E50" s="52">
        <f t="shared" si="0"/>
        <v>3</v>
      </c>
      <c r="F50" s="40">
        <v>50</v>
      </c>
      <c r="G50" s="40" t="s">
        <v>14</v>
      </c>
      <c r="H50" s="40" t="s">
        <v>875</v>
      </c>
      <c r="I50" s="40" t="s">
        <v>1058</v>
      </c>
      <c r="J50" s="67" t="s">
        <v>13</v>
      </c>
      <c r="K50" s="40"/>
      <c r="L50" s="40"/>
      <c r="M50" s="42"/>
    </row>
    <row r="51" spans="1:13" s="19" customFormat="1" x14ac:dyDescent="0.25">
      <c r="A51" s="40" t="s">
        <v>850</v>
      </c>
      <c r="B51" s="40" t="s">
        <v>608</v>
      </c>
      <c r="C51" s="41">
        <v>45442</v>
      </c>
      <c r="D51" s="74">
        <v>45448</v>
      </c>
      <c r="E51" s="52">
        <f t="shared" si="0"/>
        <v>7</v>
      </c>
      <c r="F51" s="40">
        <v>73</v>
      </c>
      <c r="G51" s="40" t="s">
        <v>14</v>
      </c>
      <c r="H51" s="40" t="s">
        <v>851</v>
      </c>
      <c r="I51" s="75" t="s">
        <v>852</v>
      </c>
      <c r="J51" s="67"/>
      <c r="K51" s="71"/>
      <c r="L51" s="40"/>
      <c r="M51" s="42"/>
    </row>
    <row r="52" spans="1:13" s="19" customFormat="1" x14ac:dyDescent="0.25">
      <c r="A52" s="40" t="s">
        <v>834</v>
      </c>
      <c r="B52" s="40" t="s">
        <v>835</v>
      </c>
      <c r="C52" s="41">
        <v>45442</v>
      </c>
      <c r="D52" s="48">
        <v>45447</v>
      </c>
      <c r="E52" s="52">
        <f t="shared" si="0"/>
        <v>6</v>
      </c>
      <c r="F52" s="40">
        <v>43</v>
      </c>
      <c r="G52" s="40" t="s">
        <v>14</v>
      </c>
      <c r="H52" s="40" t="s">
        <v>836</v>
      </c>
      <c r="I52" s="75" t="s">
        <v>837</v>
      </c>
      <c r="J52" s="67" t="s">
        <v>13</v>
      </c>
      <c r="K52" s="40"/>
      <c r="L52" s="40"/>
      <c r="M52" s="42"/>
    </row>
    <row r="53" spans="1:13" x14ac:dyDescent="0.25">
      <c r="A53" s="40" t="s">
        <v>871</v>
      </c>
      <c r="B53" s="40" t="s">
        <v>872</v>
      </c>
      <c r="C53" s="41">
        <v>45442</v>
      </c>
      <c r="D53" s="41">
        <v>45443</v>
      </c>
      <c r="E53" s="52">
        <f t="shared" si="0"/>
        <v>2</v>
      </c>
      <c r="F53" s="40">
        <v>50</v>
      </c>
      <c r="G53" s="40" t="s">
        <v>12</v>
      </c>
      <c r="H53" s="40">
        <v>770478145</v>
      </c>
      <c r="I53" s="40" t="s">
        <v>873</v>
      </c>
      <c r="J53" s="71"/>
      <c r="K53" s="40"/>
      <c r="L53" s="40"/>
      <c r="M53" s="42"/>
    </row>
    <row r="54" spans="1:13" x14ac:dyDescent="0.25">
      <c r="A54" s="40" t="s">
        <v>916</v>
      </c>
      <c r="B54" s="40" t="s">
        <v>759</v>
      </c>
      <c r="C54" s="41">
        <v>45442</v>
      </c>
      <c r="D54" s="74">
        <v>45468</v>
      </c>
      <c r="E54" s="52">
        <f t="shared" si="0"/>
        <v>27</v>
      </c>
      <c r="F54" s="40">
        <v>40</v>
      </c>
      <c r="G54" s="40" t="s">
        <v>12</v>
      </c>
      <c r="H54" s="40" t="s">
        <v>1125</v>
      </c>
      <c r="I54" s="40" t="s">
        <v>16</v>
      </c>
      <c r="J54" s="71" t="s">
        <v>45</v>
      </c>
      <c r="K54" s="40"/>
      <c r="L54" s="40"/>
      <c r="M54" s="42"/>
    </row>
    <row r="55" spans="1:13" x14ac:dyDescent="0.25">
      <c r="A55" s="40"/>
      <c r="B55" s="40"/>
      <c r="C55" s="41"/>
      <c r="D55" s="41"/>
      <c r="E55" s="52">
        <f t="shared" si="0"/>
        <v>1</v>
      </c>
      <c r="F55" s="40"/>
      <c r="G55" s="40"/>
      <c r="H55" s="40"/>
      <c r="I55" s="40"/>
      <c r="J55" s="40"/>
      <c r="K55" s="40"/>
      <c r="L55" s="40"/>
      <c r="M55" s="42"/>
    </row>
    <row r="56" spans="1:13" x14ac:dyDescent="0.25">
      <c r="A56" s="40"/>
      <c r="B56" s="40"/>
      <c r="C56" s="41"/>
      <c r="D56" s="41"/>
      <c r="E56" s="52">
        <f t="shared" si="0"/>
        <v>1</v>
      </c>
      <c r="F56" s="40"/>
      <c r="G56" s="40"/>
      <c r="H56" s="40"/>
      <c r="I56" s="40"/>
      <c r="J56" s="40"/>
      <c r="K56" s="40"/>
      <c r="L56" s="40"/>
      <c r="M56" s="42"/>
    </row>
    <row r="57" spans="1:13" x14ac:dyDescent="0.25">
      <c r="A57" s="40"/>
      <c r="B57" s="40"/>
      <c r="C57" s="41"/>
      <c r="D57" s="41"/>
      <c r="E57" s="52">
        <f>+J45</f>
        <v>0</v>
      </c>
      <c r="F57" s="40"/>
      <c r="G57" s="40"/>
      <c r="H57" s="40"/>
      <c r="I57" s="40"/>
      <c r="J57" s="87"/>
      <c r="K57" s="40"/>
      <c r="L57" s="40"/>
      <c r="M57" s="42"/>
    </row>
    <row r="58" spans="1:13" x14ac:dyDescent="0.25">
      <c r="A58" s="40"/>
      <c r="B58" s="40"/>
      <c r="C58" s="41"/>
      <c r="D58" s="41"/>
      <c r="E58" s="52">
        <f t="shared" si="0"/>
        <v>1</v>
      </c>
      <c r="F58" s="40"/>
      <c r="G58" s="40"/>
      <c r="H58" s="40"/>
      <c r="I58" s="40"/>
      <c r="J58" s="71"/>
      <c r="K58" s="40"/>
      <c r="L58" s="40"/>
      <c r="M58" s="42"/>
    </row>
    <row r="59" spans="1:13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66"/>
      <c r="K59" s="40"/>
      <c r="L59" s="40"/>
      <c r="M59" s="42"/>
    </row>
    <row r="60" spans="1:13" x14ac:dyDescent="0.25">
      <c r="A60" s="40"/>
      <c r="B60" s="40"/>
      <c r="C60" s="41"/>
      <c r="D60" s="41"/>
      <c r="E60" s="52">
        <f t="shared" si="0"/>
        <v>1</v>
      </c>
      <c r="F60" s="40"/>
      <c r="G60" s="40"/>
      <c r="H60" s="40"/>
      <c r="I60" s="71"/>
      <c r="J60" s="40"/>
      <c r="K60" s="40"/>
      <c r="L60" s="40"/>
      <c r="M60" s="42"/>
    </row>
    <row r="61" spans="1:13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40"/>
      <c r="L61" s="40"/>
      <c r="M61" s="42"/>
    </row>
    <row r="62" spans="1:13" x14ac:dyDescent="0.25">
      <c r="A62" s="40"/>
      <c r="B62" s="40"/>
      <c r="C62" s="41"/>
      <c r="D62" s="41"/>
      <c r="E62" s="52">
        <f t="shared" si="0"/>
        <v>1</v>
      </c>
      <c r="F62" s="40"/>
      <c r="G62" s="40"/>
      <c r="H62" s="40"/>
      <c r="I62" s="40"/>
      <c r="J62" s="40"/>
      <c r="K62" s="40"/>
      <c r="L62" s="40"/>
      <c r="M62" s="42"/>
    </row>
    <row r="63" spans="1:13" x14ac:dyDescent="0.25">
      <c r="A63" s="40"/>
      <c r="B63" s="40"/>
      <c r="C63" s="41"/>
      <c r="D63" s="48"/>
      <c r="E63" s="52">
        <f t="shared" si="0"/>
        <v>1</v>
      </c>
      <c r="F63" s="40"/>
      <c r="G63" s="40"/>
      <c r="H63" s="40"/>
      <c r="I63" s="40"/>
      <c r="J63" s="67"/>
      <c r="K63" s="40"/>
      <c r="L63" s="40"/>
      <c r="M63" s="42"/>
    </row>
    <row r="64" spans="1:13" x14ac:dyDescent="0.25">
      <c r="A64" s="40"/>
      <c r="B64" s="40"/>
      <c r="C64" s="41"/>
      <c r="D64" s="41"/>
      <c r="E64" s="52">
        <f t="shared" si="0"/>
        <v>1</v>
      </c>
      <c r="F64" s="40"/>
      <c r="G64" s="40"/>
      <c r="H64" s="40"/>
      <c r="I64" s="40"/>
      <c r="J64" s="40"/>
      <c r="K64" s="40"/>
      <c r="L64" s="40"/>
      <c r="M64" s="42"/>
    </row>
    <row r="65" spans="1:13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40"/>
      <c r="K65" s="40"/>
      <c r="L65" s="40"/>
      <c r="M65" s="42"/>
    </row>
    <row r="66" spans="1:13" x14ac:dyDescent="0.25">
      <c r="A66" s="40"/>
      <c r="B66" s="40"/>
      <c r="C66" s="41"/>
      <c r="D66" s="41"/>
      <c r="E66" s="52">
        <f t="shared" si="0"/>
        <v>1</v>
      </c>
      <c r="F66" s="40"/>
      <c r="G66" s="40"/>
      <c r="H66" s="40"/>
      <c r="I66" s="40"/>
      <c r="J66" s="40"/>
      <c r="K66" s="40"/>
      <c r="L66" s="40"/>
      <c r="M66" s="42"/>
    </row>
    <row r="67" spans="1:13" x14ac:dyDescent="0.25">
      <c r="A67" s="40"/>
      <c r="B67" s="40"/>
      <c r="C67" s="41"/>
      <c r="D67" s="41"/>
      <c r="E67" s="52">
        <f t="shared" si="0"/>
        <v>1</v>
      </c>
      <c r="F67" s="40"/>
      <c r="G67" s="40"/>
      <c r="H67" s="40"/>
      <c r="I67" s="40"/>
      <c r="J67" s="40"/>
      <c r="K67" s="40"/>
      <c r="L67" s="40"/>
      <c r="M67" s="42"/>
    </row>
    <row r="68" spans="1:13" x14ac:dyDescent="0.25">
      <c r="A68" s="40"/>
      <c r="B68" s="40"/>
      <c r="C68" s="41"/>
      <c r="D68" s="41"/>
      <c r="E68" s="52">
        <f t="shared" si="0"/>
        <v>1</v>
      </c>
      <c r="F68" s="40"/>
      <c r="G68" s="40"/>
      <c r="H68" s="40"/>
      <c r="I68" s="40"/>
      <c r="J68" s="67"/>
      <c r="K68" s="40"/>
      <c r="L68" s="40"/>
      <c r="M68" s="42"/>
    </row>
    <row r="69" spans="1:13" x14ac:dyDescent="0.25">
      <c r="A69" s="40"/>
      <c r="B69" s="40"/>
      <c r="C69" s="41"/>
      <c r="D69" s="41"/>
      <c r="E69" s="52">
        <f t="shared" ref="E69:E109" si="1">D69-C69+1</f>
        <v>1</v>
      </c>
      <c r="F69" s="40"/>
      <c r="G69" s="40"/>
      <c r="H69" s="40"/>
      <c r="I69" s="40"/>
      <c r="J69" s="40"/>
      <c r="K69" s="40"/>
      <c r="L69" s="40"/>
      <c r="M69" s="42"/>
    </row>
    <row r="70" spans="1:13" x14ac:dyDescent="0.25">
      <c r="A70" s="40"/>
      <c r="B70" s="40"/>
      <c r="C70" s="41"/>
      <c r="D70" s="41"/>
      <c r="E70" s="52">
        <f t="shared" si="1"/>
        <v>1</v>
      </c>
      <c r="F70" s="40"/>
      <c r="G70" s="40"/>
      <c r="H70" s="40"/>
      <c r="I70" s="40"/>
      <c r="J70" s="40"/>
      <c r="K70" s="40"/>
      <c r="L70" s="40"/>
      <c r="M70" s="42"/>
    </row>
    <row r="71" spans="1:13" x14ac:dyDescent="0.25">
      <c r="A71" s="40"/>
      <c r="B71" s="40"/>
      <c r="C71" s="41"/>
      <c r="D71" s="41"/>
      <c r="E71" s="52">
        <f t="shared" si="1"/>
        <v>1</v>
      </c>
      <c r="F71" s="40"/>
      <c r="G71" s="40"/>
      <c r="H71" s="40"/>
      <c r="I71" s="40"/>
      <c r="J71" s="71"/>
      <c r="K71" s="40"/>
      <c r="L71" s="40"/>
      <c r="M71" s="42"/>
    </row>
    <row r="72" spans="1:13" s="19" customFormat="1" x14ac:dyDescent="0.25">
      <c r="A72" s="40"/>
      <c r="B72" s="40"/>
      <c r="C72" s="41"/>
      <c r="D72" s="41"/>
      <c r="E72" s="52">
        <f t="shared" si="1"/>
        <v>1</v>
      </c>
      <c r="F72" s="40"/>
      <c r="G72" s="40"/>
      <c r="H72" s="40"/>
      <c r="I72" s="71"/>
      <c r="J72" s="40"/>
      <c r="K72" s="40"/>
      <c r="L72" s="40"/>
      <c r="M72" s="42"/>
    </row>
    <row r="73" spans="1:13" x14ac:dyDescent="0.25">
      <c r="A73" s="40"/>
      <c r="B73" s="40"/>
      <c r="C73" s="41"/>
      <c r="D73" s="41"/>
      <c r="E73" s="52">
        <f t="shared" si="1"/>
        <v>1</v>
      </c>
      <c r="F73" s="40"/>
      <c r="G73" s="40"/>
      <c r="H73" s="40"/>
      <c r="I73" s="40"/>
      <c r="J73" s="71"/>
      <c r="K73" s="40"/>
      <c r="L73" s="40"/>
      <c r="M73" s="42"/>
    </row>
    <row r="74" spans="1:13" x14ac:dyDescent="0.25">
      <c r="A74" s="40"/>
      <c r="B74" s="40"/>
      <c r="C74" s="41"/>
      <c r="D74" s="41"/>
      <c r="E74" s="52">
        <f t="shared" si="1"/>
        <v>1</v>
      </c>
      <c r="F74" s="40"/>
      <c r="G74" s="40"/>
      <c r="H74" s="40"/>
      <c r="I74" s="40"/>
      <c r="J74" s="40"/>
      <c r="K74" s="40"/>
      <c r="L74" s="40"/>
      <c r="M74" s="42"/>
    </row>
    <row r="75" spans="1:13" s="19" customFormat="1" x14ac:dyDescent="0.25">
      <c r="A75" s="40"/>
      <c r="B75" s="40"/>
      <c r="C75" s="41"/>
      <c r="D75" s="48"/>
      <c r="E75" s="52">
        <f t="shared" si="1"/>
        <v>1</v>
      </c>
      <c r="F75" s="40"/>
      <c r="G75" s="40"/>
      <c r="H75" s="40"/>
      <c r="I75" s="71"/>
      <c r="J75" s="67"/>
      <c r="K75" s="71"/>
      <c r="L75" s="40"/>
      <c r="M75" s="42"/>
    </row>
    <row r="76" spans="1:13" x14ac:dyDescent="0.25">
      <c r="A76" s="40"/>
      <c r="B76" s="40"/>
      <c r="C76" s="41"/>
      <c r="D76" s="41"/>
      <c r="E76" s="52">
        <f t="shared" si="1"/>
        <v>1</v>
      </c>
      <c r="F76" s="40"/>
      <c r="G76" s="40"/>
      <c r="H76" s="40"/>
      <c r="I76" s="40"/>
      <c r="J76" s="40"/>
      <c r="K76" s="40"/>
      <c r="L76" s="40"/>
      <c r="M76" s="42"/>
    </row>
    <row r="77" spans="1:13" x14ac:dyDescent="0.25">
      <c r="A77" s="40"/>
      <c r="B77" s="40"/>
      <c r="C77" s="41"/>
      <c r="D77" s="41"/>
      <c r="E77" s="52">
        <f t="shared" si="1"/>
        <v>1</v>
      </c>
      <c r="F77" s="40"/>
      <c r="G77" s="40"/>
      <c r="H77" s="40"/>
      <c r="I77" s="40"/>
      <c r="J77" s="87"/>
      <c r="K77" s="40"/>
      <c r="L77" s="67"/>
      <c r="M77" s="42"/>
    </row>
    <row r="78" spans="1:13" x14ac:dyDescent="0.25">
      <c r="A78" s="40"/>
      <c r="B78" s="40"/>
      <c r="C78" s="41"/>
      <c r="D78" s="48"/>
      <c r="E78" s="52">
        <f t="shared" si="1"/>
        <v>1</v>
      </c>
      <c r="F78" s="40"/>
      <c r="G78" s="40"/>
      <c r="H78" s="40"/>
      <c r="I78" s="40"/>
      <c r="J78" s="67"/>
      <c r="K78" s="87"/>
      <c r="L78" s="40"/>
      <c r="M78" s="42"/>
    </row>
    <row r="79" spans="1:13" x14ac:dyDescent="0.25">
      <c r="A79" s="40"/>
      <c r="B79" s="40"/>
      <c r="C79" s="41"/>
      <c r="D79" s="48"/>
      <c r="E79" s="52">
        <f t="shared" si="1"/>
        <v>1</v>
      </c>
      <c r="F79" s="40"/>
      <c r="G79" s="40"/>
      <c r="H79" s="40"/>
      <c r="I79" s="40"/>
      <c r="J79" s="67"/>
      <c r="K79" s="40"/>
      <c r="L79" s="40"/>
      <c r="M79" s="42"/>
    </row>
    <row r="80" spans="1:13" x14ac:dyDescent="0.25">
      <c r="A80" s="40"/>
      <c r="B80" s="40"/>
      <c r="C80" s="41"/>
      <c r="D80" s="41"/>
      <c r="E80" s="52">
        <f t="shared" si="1"/>
        <v>1</v>
      </c>
      <c r="F80" s="40"/>
      <c r="G80" s="40"/>
      <c r="H80" s="40"/>
      <c r="I80" s="40"/>
      <c r="J80" s="40"/>
      <c r="K80" s="40"/>
      <c r="L80" s="40"/>
      <c r="M80" s="42"/>
    </row>
    <row r="81" spans="1:13" x14ac:dyDescent="0.25">
      <c r="A81" s="40"/>
      <c r="B81" s="40"/>
      <c r="C81" s="41"/>
      <c r="D81" s="41"/>
      <c r="E81" s="52">
        <f t="shared" si="1"/>
        <v>1</v>
      </c>
      <c r="F81" s="40"/>
      <c r="G81" s="40"/>
      <c r="H81" s="40"/>
      <c r="I81" s="40"/>
      <c r="J81" s="40"/>
      <c r="K81" s="40"/>
      <c r="L81" s="40"/>
      <c r="M81" s="42"/>
    </row>
    <row r="82" spans="1:13" x14ac:dyDescent="0.25">
      <c r="A82" s="40"/>
      <c r="B82" s="40"/>
      <c r="C82" s="41"/>
      <c r="D82" s="41"/>
      <c r="E82" s="52">
        <f t="shared" si="1"/>
        <v>1</v>
      </c>
      <c r="F82" s="40"/>
      <c r="G82" s="40"/>
      <c r="H82" s="40"/>
      <c r="I82" s="40"/>
      <c r="J82" s="40"/>
      <c r="K82" s="40"/>
      <c r="L82" s="40"/>
      <c r="M82" s="42"/>
    </row>
    <row r="83" spans="1:13" x14ac:dyDescent="0.25">
      <c r="A83" s="40"/>
      <c r="B83" s="40"/>
      <c r="C83" s="41"/>
      <c r="D83" s="48"/>
      <c r="E83" s="52">
        <f t="shared" si="1"/>
        <v>1</v>
      </c>
      <c r="F83" s="40"/>
      <c r="G83" s="40"/>
      <c r="H83" s="40"/>
      <c r="I83" s="40"/>
      <c r="J83" s="67"/>
      <c r="K83" s="40"/>
      <c r="L83" s="40"/>
      <c r="M83" s="42"/>
    </row>
    <row r="84" spans="1:13" x14ac:dyDescent="0.25">
      <c r="A84" s="40"/>
      <c r="B84" s="40"/>
      <c r="C84" s="41"/>
      <c r="D84" s="41"/>
      <c r="E84" s="52">
        <f t="shared" si="1"/>
        <v>1</v>
      </c>
      <c r="F84" s="40"/>
      <c r="G84" s="40"/>
      <c r="H84" s="40"/>
      <c r="I84" s="40"/>
      <c r="J84" s="40"/>
      <c r="K84" s="40"/>
      <c r="L84" s="40"/>
      <c r="M84" s="42"/>
    </row>
    <row r="85" spans="1:13" x14ac:dyDescent="0.25">
      <c r="A85" s="40"/>
      <c r="B85" s="40"/>
      <c r="C85" s="41"/>
      <c r="D85" s="41"/>
      <c r="E85" s="52">
        <f t="shared" si="1"/>
        <v>1</v>
      </c>
      <c r="F85" s="40"/>
      <c r="G85" s="40"/>
      <c r="H85" s="40"/>
      <c r="I85" s="40"/>
      <c r="J85" s="40"/>
      <c r="K85" s="40"/>
      <c r="L85" s="40"/>
      <c r="M85" s="42"/>
    </row>
    <row r="86" spans="1:13" x14ac:dyDescent="0.25">
      <c r="A86" s="40"/>
      <c r="B86" s="40"/>
      <c r="C86" s="40"/>
      <c r="D86" s="40"/>
      <c r="E86" s="52">
        <f t="shared" si="1"/>
        <v>1</v>
      </c>
      <c r="F86" s="40"/>
      <c r="G86" s="40"/>
      <c r="H86" s="40"/>
      <c r="I86" s="40"/>
      <c r="J86" s="40"/>
      <c r="K86" s="40"/>
      <c r="L86" s="40"/>
      <c r="M86" s="42"/>
    </row>
    <row r="87" spans="1:13" x14ac:dyDescent="0.25">
      <c r="A87" s="40"/>
      <c r="B87" s="40"/>
      <c r="C87" s="40"/>
      <c r="D87" s="40"/>
      <c r="E87" s="52">
        <f t="shared" si="1"/>
        <v>1</v>
      </c>
      <c r="F87" s="40"/>
      <c r="G87" s="40"/>
      <c r="H87" s="40"/>
      <c r="I87" s="40"/>
      <c r="J87" s="40"/>
      <c r="K87" s="40"/>
      <c r="L87" s="40"/>
      <c r="M87" s="42"/>
    </row>
    <row r="88" spans="1:13" x14ac:dyDescent="0.25">
      <c r="A88" s="40"/>
      <c r="B88" s="40"/>
      <c r="C88" s="40"/>
      <c r="D88" s="40"/>
      <c r="E88" s="52">
        <f t="shared" si="1"/>
        <v>1</v>
      </c>
      <c r="F88" s="40"/>
      <c r="G88" s="40"/>
      <c r="H88" s="40"/>
      <c r="I88" s="40"/>
      <c r="J88" s="40"/>
      <c r="K88" s="40"/>
      <c r="L88" s="40"/>
      <c r="M88" s="42"/>
    </row>
    <row r="89" spans="1:13" x14ac:dyDescent="0.25">
      <c r="A89" s="40"/>
      <c r="B89" s="40"/>
      <c r="C89" s="40"/>
      <c r="D89" s="40"/>
      <c r="E89" s="52">
        <f t="shared" si="1"/>
        <v>1</v>
      </c>
      <c r="F89" s="40"/>
      <c r="G89" s="40"/>
      <c r="H89" s="40"/>
      <c r="I89" s="40"/>
      <c r="J89" s="40"/>
      <c r="K89" s="40"/>
      <c r="L89" s="40"/>
      <c r="M89" s="42"/>
    </row>
    <row r="90" spans="1:13" x14ac:dyDescent="0.25">
      <c r="A90" s="40"/>
      <c r="B90" s="40"/>
      <c r="C90" s="40"/>
      <c r="D90" s="40"/>
      <c r="E90" s="52">
        <f t="shared" si="1"/>
        <v>1</v>
      </c>
      <c r="F90" s="40"/>
      <c r="G90" s="40"/>
      <c r="H90" s="40"/>
      <c r="I90" s="40"/>
      <c r="J90" s="40"/>
      <c r="K90" s="40"/>
      <c r="L90" s="40"/>
      <c r="M90" s="42"/>
    </row>
    <row r="91" spans="1:13" x14ac:dyDescent="0.25">
      <c r="A91" s="40"/>
      <c r="B91" s="40"/>
      <c r="C91" s="40"/>
      <c r="D91" s="41"/>
      <c r="E91" s="52">
        <f t="shared" si="1"/>
        <v>1</v>
      </c>
      <c r="F91" s="40"/>
      <c r="G91" s="40"/>
      <c r="H91" s="40"/>
      <c r="I91" s="40"/>
      <c r="J91" s="40"/>
      <c r="K91" s="40"/>
      <c r="L91" s="40"/>
      <c r="M91" s="42"/>
    </row>
    <row r="92" spans="1:13" x14ac:dyDescent="0.25">
      <c r="A92" s="40"/>
      <c r="B92" s="40"/>
      <c r="C92" s="40"/>
      <c r="D92" s="40"/>
      <c r="E92" s="52">
        <f t="shared" si="1"/>
        <v>1</v>
      </c>
      <c r="F92" s="40"/>
      <c r="G92" s="40"/>
      <c r="H92" s="40"/>
      <c r="I92" s="40"/>
      <c r="J92" s="40"/>
      <c r="K92" s="40"/>
      <c r="L92" s="40"/>
      <c r="M92" s="42"/>
    </row>
    <row r="93" spans="1:13" x14ac:dyDescent="0.25">
      <c r="A93" s="40"/>
      <c r="B93" s="40"/>
      <c r="C93" s="40"/>
      <c r="D93" s="40"/>
      <c r="E93" s="52">
        <f t="shared" si="1"/>
        <v>1</v>
      </c>
      <c r="F93" s="40"/>
      <c r="G93" s="40"/>
      <c r="H93" s="40"/>
      <c r="I93" s="40"/>
      <c r="J93" s="40"/>
      <c r="K93" s="40"/>
      <c r="L93" s="40"/>
      <c r="M93" s="42"/>
    </row>
    <row r="94" spans="1:13" x14ac:dyDescent="0.25">
      <c r="A94" s="1"/>
      <c r="B94" s="1"/>
      <c r="C94" s="1"/>
      <c r="D94" s="4"/>
      <c r="E94" s="52">
        <f t="shared" si="1"/>
        <v>1</v>
      </c>
      <c r="F94" s="1"/>
      <c r="G94" s="1"/>
      <c r="H94" s="1"/>
      <c r="I94" s="1"/>
      <c r="J94" s="1"/>
      <c r="K94" s="1"/>
      <c r="L94" s="1"/>
    </row>
    <row r="95" spans="1:13" x14ac:dyDescent="0.25">
      <c r="A95" s="1"/>
      <c r="B95" s="1"/>
      <c r="C95" s="1"/>
      <c r="D95" s="1"/>
      <c r="E95" s="52">
        <f t="shared" si="1"/>
        <v>1</v>
      </c>
      <c r="F95" s="1"/>
      <c r="G95" s="1"/>
      <c r="H95" s="1"/>
      <c r="I95" s="1"/>
      <c r="J95" s="1"/>
      <c r="K95" s="1"/>
      <c r="L95" s="1"/>
    </row>
    <row r="96" spans="1:13" x14ac:dyDescent="0.25">
      <c r="A96" s="1"/>
      <c r="B96" s="1"/>
      <c r="C96" s="1"/>
      <c r="D96" s="1"/>
      <c r="E96" s="52">
        <f t="shared" si="1"/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52">
        <f t="shared" si="1"/>
        <v>1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52">
        <f t="shared" si="1"/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52">
        <f t="shared" si="1"/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52">
        <f t="shared" si="1"/>
        <v>1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4"/>
      <c r="E101" s="52">
        <f t="shared" si="1"/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52">
        <f t="shared" si="1"/>
        <v>1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52">
        <f t="shared" si="1"/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52">
        <f t="shared" si="1"/>
        <v>1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52">
        <f t="shared" si="1"/>
        <v>1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52">
        <f t="shared" si="1"/>
        <v>1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52">
        <f t="shared" si="1"/>
        <v>1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52">
        <f t="shared" si="1"/>
        <v>1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52">
        <f t="shared" si="1"/>
        <v>1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opLeftCell="A34" workbookViewId="0">
      <selection activeCell="B39" sqref="B39"/>
    </sheetView>
  </sheetViews>
  <sheetFormatPr baseColWidth="10" defaultRowHeight="15" x14ac:dyDescent="0.25"/>
  <cols>
    <col min="1" max="1" width="15" customWidth="1"/>
    <col min="2" max="2" width="27.7109375" customWidth="1"/>
    <col min="3" max="3" width="13" customWidth="1"/>
    <col min="4" max="4" width="13.28515625" customWidth="1"/>
    <col min="5" max="5" width="14.42578125" customWidth="1"/>
    <col min="6" max="6" width="5" customWidth="1"/>
    <col min="7" max="7" width="6.140625" customWidth="1"/>
    <col min="8" max="8" width="30.140625" customWidth="1"/>
    <col min="9" max="9" width="37.42578125" customWidth="1"/>
    <col min="10" max="10" width="14.42578125" customWidth="1"/>
  </cols>
  <sheetData>
    <row r="1" spans="1:12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2" x14ac:dyDescent="0.25">
      <c r="A2" s="40" t="s">
        <v>920</v>
      </c>
      <c r="B2" s="40" t="s">
        <v>933</v>
      </c>
      <c r="C2" s="41">
        <v>45444</v>
      </c>
      <c r="D2" s="41">
        <v>45450</v>
      </c>
      <c r="E2" s="52">
        <f t="shared" ref="E2:E65" si="0">D2-C2+1</f>
        <v>7</v>
      </c>
      <c r="F2" s="40">
        <v>19</v>
      </c>
      <c r="G2" s="40" t="s">
        <v>14</v>
      </c>
      <c r="H2" s="40" t="s">
        <v>934</v>
      </c>
      <c r="I2" s="40" t="s">
        <v>935</v>
      </c>
      <c r="J2" s="71" t="s">
        <v>45</v>
      </c>
      <c r="K2" s="40"/>
      <c r="L2" s="1"/>
    </row>
    <row r="3" spans="1:12" x14ac:dyDescent="0.25">
      <c r="A3" s="40" t="s">
        <v>921</v>
      </c>
      <c r="B3" s="40" t="s">
        <v>955</v>
      </c>
      <c r="C3" s="41">
        <v>45446</v>
      </c>
      <c r="D3" s="74">
        <v>45456</v>
      </c>
      <c r="E3" s="52">
        <f t="shared" si="0"/>
        <v>11</v>
      </c>
      <c r="F3" s="40">
        <v>32</v>
      </c>
      <c r="G3" s="40" t="s">
        <v>14</v>
      </c>
      <c r="H3" s="40" t="s">
        <v>956</v>
      </c>
      <c r="I3" s="40" t="s">
        <v>957</v>
      </c>
      <c r="J3" s="67"/>
      <c r="K3" s="40"/>
      <c r="L3" s="1"/>
    </row>
    <row r="4" spans="1:12" x14ac:dyDescent="0.25">
      <c r="A4" s="40" t="s">
        <v>922</v>
      </c>
      <c r="B4" s="40" t="s">
        <v>994</v>
      </c>
      <c r="C4" s="41">
        <v>45446</v>
      </c>
      <c r="D4" s="48">
        <v>45463</v>
      </c>
      <c r="E4" s="52">
        <f t="shared" si="0"/>
        <v>18</v>
      </c>
      <c r="F4" s="40">
        <v>36</v>
      </c>
      <c r="G4" s="40" t="s">
        <v>12</v>
      </c>
      <c r="H4" s="40" t="s">
        <v>995</v>
      </c>
      <c r="I4" s="40" t="s">
        <v>996</v>
      </c>
      <c r="J4" s="67" t="s">
        <v>1063</v>
      </c>
      <c r="K4" s="71"/>
      <c r="L4" s="1"/>
    </row>
    <row r="5" spans="1:12" s="19" customFormat="1" x14ac:dyDescent="0.25">
      <c r="A5" s="40" t="s">
        <v>923</v>
      </c>
      <c r="B5" s="40" t="s">
        <v>941</v>
      </c>
      <c r="C5" s="41">
        <v>45447</v>
      </c>
      <c r="D5" s="41">
        <v>45451</v>
      </c>
      <c r="E5" s="52">
        <f t="shared" si="0"/>
        <v>5</v>
      </c>
      <c r="F5" s="40">
        <v>19</v>
      </c>
      <c r="G5" s="40" t="s">
        <v>14</v>
      </c>
      <c r="H5" s="40" t="s">
        <v>942</v>
      </c>
      <c r="I5" s="75" t="s">
        <v>943</v>
      </c>
      <c r="J5" s="40"/>
      <c r="K5" s="40"/>
      <c r="L5" s="18"/>
    </row>
    <row r="6" spans="1:12" s="19" customFormat="1" x14ac:dyDescent="0.25">
      <c r="A6" s="40" t="s">
        <v>924</v>
      </c>
      <c r="B6" s="40" t="s">
        <v>930</v>
      </c>
      <c r="C6" s="41">
        <v>45447</v>
      </c>
      <c r="D6" s="41">
        <v>45451</v>
      </c>
      <c r="E6" s="52">
        <f t="shared" si="0"/>
        <v>5</v>
      </c>
      <c r="F6" s="40">
        <v>44</v>
      </c>
      <c r="G6" s="40" t="s">
        <v>12</v>
      </c>
      <c r="H6" s="40" t="s">
        <v>931</v>
      </c>
      <c r="I6" s="75" t="s">
        <v>44</v>
      </c>
      <c r="J6" s="40"/>
      <c r="K6" s="40"/>
      <c r="L6" s="18"/>
    </row>
    <row r="7" spans="1:12" x14ac:dyDescent="0.25">
      <c r="A7" s="40" t="s">
        <v>925</v>
      </c>
      <c r="B7" s="40" t="s">
        <v>976</v>
      </c>
      <c r="C7" s="41">
        <v>45447</v>
      </c>
      <c r="D7" s="41">
        <v>45463</v>
      </c>
      <c r="E7" s="52">
        <f t="shared" si="0"/>
        <v>17</v>
      </c>
      <c r="F7" s="40">
        <v>54</v>
      </c>
      <c r="G7" s="40" t="s">
        <v>14</v>
      </c>
      <c r="H7" s="40" t="s">
        <v>977</v>
      </c>
      <c r="I7" s="40" t="s">
        <v>978</v>
      </c>
      <c r="J7" s="40"/>
      <c r="K7" s="40"/>
      <c r="L7" s="1"/>
    </row>
    <row r="8" spans="1:12" x14ac:dyDescent="0.25">
      <c r="A8" s="40" t="s">
        <v>926</v>
      </c>
      <c r="B8" s="40" t="s">
        <v>927</v>
      </c>
      <c r="C8" s="41">
        <v>45449</v>
      </c>
      <c r="D8" s="41">
        <v>45457</v>
      </c>
      <c r="E8" s="52">
        <f t="shared" si="0"/>
        <v>9</v>
      </c>
      <c r="F8" s="40">
        <v>50</v>
      </c>
      <c r="G8" s="40" t="s">
        <v>12</v>
      </c>
      <c r="H8" s="40" t="s">
        <v>928</v>
      </c>
      <c r="I8" s="40" t="s">
        <v>929</v>
      </c>
      <c r="J8" s="40"/>
      <c r="K8" s="40"/>
      <c r="L8" s="1"/>
    </row>
    <row r="9" spans="1:12" x14ac:dyDescent="0.25">
      <c r="A9" s="40" t="s">
        <v>988</v>
      </c>
      <c r="B9" s="40" t="s">
        <v>989</v>
      </c>
      <c r="C9" s="41">
        <v>45450</v>
      </c>
      <c r="D9" s="41">
        <v>45458</v>
      </c>
      <c r="E9" s="52">
        <f t="shared" si="0"/>
        <v>9</v>
      </c>
      <c r="F9" s="40">
        <v>80</v>
      </c>
      <c r="G9" s="40" t="s">
        <v>14</v>
      </c>
      <c r="H9" s="40" t="s">
        <v>990</v>
      </c>
      <c r="I9" s="40" t="s">
        <v>203</v>
      </c>
      <c r="J9" s="40"/>
      <c r="K9" s="40"/>
      <c r="L9" s="1"/>
    </row>
    <row r="10" spans="1:12" x14ac:dyDescent="0.25">
      <c r="A10" s="40" t="s">
        <v>966</v>
      </c>
      <c r="B10" s="40" t="s">
        <v>967</v>
      </c>
      <c r="C10" s="41">
        <v>45450</v>
      </c>
      <c r="D10" s="74">
        <v>45462</v>
      </c>
      <c r="E10" s="52">
        <f t="shared" si="0"/>
        <v>13</v>
      </c>
      <c r="F10" s="40">
        <v>28</v>
      </c>
      <c r="G10" s="40" t="s">
        <v>14</v>
      </c>
      <c r="H10" s="40" t="s">
        <v>968</v>
      </c>
      <c r="I10" s="40" t="s">
        <v>35</v>
      </c>
      <c r="J10" s="67"/>
      <c r="K10" s="40"/>
      <c r="L10" s="1"/>
    </row>
    <row r="11" spans="1:12" x14ac:dyDescent="0.25">
      <c r="A11" s="40" t="s">
        <v>997</v>
      </c>
      <c r="B11" s="40" t="s">
        <v>998</v>
      </c>
      <c r="C11" s="41">
        <v>45452</v>
      </c>
      <c r="D11" s="41">
        <v>45472</v>
      </c>
      <c r="E11" s="52">
        <f t="shared" si="0"/>
        <v>21</v>
      </c>
      <c r="F11" s="40">
        <v>18</v>
      </c>
      <c r="G11" s="40" t="s">
        <v>12</v>
      </c>
      <c r="H11" s="40" t="s">
        <v>999</v>
      </c>
      <c r="I11" s="40" t="s">
        <v>20</v>
      </c>
      <c r="J11" s="71"/>
      <c r="K11" s="40"/>
      <c r="L11" s="1"/>
    </row>
    <row r="12" spans="1:12" x14ac:dyDescent="0.25">
      <c r="A12" s="40" t="s">
        <v>958</v>
      </c>
      <c r="B12" s="40" t="s">
        <v>959</v>
      </c>
      <c r="C12" s="41">
        <v>45453</v>
      </c>
      <c r="D12" s="74">
        <v>45456</v>
      </c>
      <c r="E12" s="52">
        <f t="shared" si="0"/>
        <v>4</v>
      </c>
      <c r="F12" s="40">
        <v>21</v>
      </c>
      <c r="G12" s="40" t="s">
        <v>14</v>
      </c>
      <c r="H12" s="40" t="s">
        <v>960</v>
      </c>
      <c r="I12" s="40" t="s">
        <v>961</v>
      </c>
      <c r="J12" s="67"/>
      <c r="K12" s="40"/>
      <c r="L12" s="1"/>
    </row>
    <row r="13" spans="1:12" x14ac:dyDescent="0.25">
      <c r="A13" s="40" t="s">
        <v>979</v>
      </c>
      <c r="B13" s="40" t="s">
        <v>980</v>
      </c>
      <c r="C13" s="41">
        <v>45453</v>
      </c>
      <c r="D13" s="41">
        <v>45464</v>
      </c>
      <c r="E13" s="52">
        <f t="shared" si="0"/>
        <v>12</v>
      </c>
      <c r="F13" s="40">
        <v>60</v>
      </c>
      <c r="G13" s="40" t="s">
        <v>14</v>
      </c>
      <c r="H13" s="40" t="s">
        <v>981</v>
      </c>
      <c r="I13" s="40" t="s">
        <v>982</v>
      </c>
      <c r="J13" s="71"/>
      <c r="K13" s="40"/>
      <c r="L13" s="1"/>
    </row>
    <row r="14" spans="1:12" x14ac:dyDescent="0.25">
      <c r="A14" s="40" t="s">
        <v>1000</v>
      </c>
      <c r="B14" s="40" t="s">
        <v>1001</v>
      </c>
      <c r="C14" s="41">
        <v>45454</v>
      </c>
      <c r="D14" s="41">
        <v>45474</v>
      </c>
      <c r="E14" s="52">
        <f t="shared" si="0"/>
        <v>21</v>
      </c>
      <c r="F14" s="40">
        <v>34</v>
      </c>
      <c r="G14" s="40" t="s">
        <v>12</v>
      </c>
      <c r="H14" s="40" t="s">
        <v>1002</v>
      </c>
      <c r="I14" s="40" t="s">
        <v>1057</v>
      </c>
      <c r="J14" s="40"/>
      <c r="K14" s="40"/>
      <c r="L14" s="1"/>
    </row>
    <row r="15" spans="1:12" s="56" customFormat="1" x14ac:dyDescent="0.25">
      <c r="A15" s="53" t="s">
        <v>951</v>
      </c>
      <c r="B15" s="53" t="s">
        <v>952</v>
      </c>
      <c r="C15" s="54">
        <v>45455</v>
      </c>
      <c r="D15" s="54">
        <v>45457</v>
      </c>
      <c r="E15" s="55">
        <f t="shared" si="0"/>
        <v>3</v>
      </c>
      <c r="F15" s="53" t="s">
        <v>953</v>
      </c>
      <c r="G15" s="53" t="s">
        <v>12</v>
      </c>
      <c r="H15" s="53" t="s">
        <v>954</v>
      </c>
      <c r="I15" s="58" t="s">
        <v>145</v>
      </c>
      <c r="J15" s="58" t="s">
        <v>45</v>
      </c>
      <c r="K15" s="53"/>
      <c r="L15" s="53"/>
    </row>
    <row r="16" spans="1:12" x14ac:dyDescent="0.25">
      <c r="A16" s="40" t="s">
        <v>972</v>
      </c>
      <c r="B16" s="40" t="s">
        <v>973</v>
      </c>
      <c r="C16" s="41">
        <v>45455</v>
      </c>
      <c r="D16" s="41">
        <v>45463</v>
      </c>
      <c r="E16" s="52">
        <f t="shared" si="0"/>
        <v>9</v>
      </c>
      <c r="F16" s="40">
        <v>56</v>
      </c>
      <c r="G16" s="40" t="s">
        <v>12</v>
      </c>
      <c r="H16" s="40" t="s">
        <v>974</v>
      </c>
      <c r="I16" s="40" t="s">
        <v>975</v>
      </c>
      <c r="J16" s="71"/>
      <c r="K16" s="40"/>
      <c r="L16" s="1"/>
    </row>
    <row r="17" spans="1:12" s="56" customFormat="1" x14ac:dyDescent="0.25">
      <c r="A17" s="53" t="s">
        <v>1003</v>
      </c>
      <c r="B17" s="53" t="s">
        <v>1052</v>
      </c>
      <c r="C17" s="54">
        <v>45456</v>
      </c>
      <c r="D17" s="54">
        <v>45468</v>
      </c>
      <c r="E17" s="55">
        <f t="shared" si="0"/>
        <v>13</v>
      </c>
      <c r="F17" s="53">
        <v>32</v>
      </c>
      <c r="G17" s="53" t="s">
        <v>12</v>
      </c>
      <c r="H17" s="53" t="s">
        <v>1053</v>
      </c>
      <c r="I17" s="58" t="s">
        <v>145</v>
      </c>
      <c r="J17" s="53"/>
      <c r="K17" s="53"/>
      <c r="L17" s="53"/>
    </row>
    <row r="18" spans="1:12" x14ac:dyDescent="0.25">
      <c r="A18" s="40" t="s">
        <v>1004</v>
      </c>
      <c r="B18" s="40" t="s">
        <v>1062</v>
      </c>
      <c r="C18" s="41">
        <v>45456</v>
      </c>
      <c r="D18" s="74">
        <v>45476</v>
      </c>
      <c r="E18" s="52">
        <f t="shared" si="0"/>
        <v>21</v>
      </c>
      <c r="F18" s="40">
        <v>65</v>
      </c>
      <c r="G18" s="40" t="s">
        <v>12</v>
      </c>
      <c r="H18" s="40" t="s">
        <v>1005</v>
      </c>
      <c r="I18" s="40" t="s">
        <v>1061</v>
      </c>
      <c r="J18" s="67"/>
      <c r="K18" s="40"/>
      <c r="L18" s="1"/>
    </row>
    <row r="19" spans="1:12" s="56" customFormat="1" x14ac:dyDescent="0.25">
      <c r="A19" s="53" t="s">
        <v>1006</v>
      </c>
      <c r="B19" s="53" t="s">
        <v>1007</v>
      </c>
      <c r="C19" s="54">
        <v>45457</v>
      </c>
      <c r="D19" s="54">
        <v>45475</v>
      </c>
      <c r="E19" s="55">
        <f t="shared" si="0"/>
        <v>19</v>
      </c>
      <c r="F19" s="53">
        <v>30</v>
      </c>
      <c r="G19" s="53" t="s">
        <v>12</v>
      </c>
      <c r="H19" s="53" t="s">
        <v>1008</v>
      </c>
      <c r="I19" s="58" t="s">
        <v>145</v>
      </c>
      <c r="J19" s="53"/>
      <c r="K19" s="53"/>
      <c r="L19" s="53"/>
    </row>
    <row r="20" spans="1:12" x14ac:dyDescent="0.25">
      <c r="A20" s="40" t="s">
        <v>947</v>
      </c>
      <c r="B20" s="40" t="s">
        <v>948</v>
      </c>
      <c r="C20" s="41">
        <v>45457</v>
      </c>
      <c r="D20" s="48">
        <v>45460</v>
      </c>
      <c r="E20" s="52">
        <f t="shared" si="0"/>
        <v>4</v>
      </c>
      <c r="F20" s="40">
        <v>100</v>
      </c>
      <c r="G20" s="40" t="s">
        <v>14</v>
      </c>
      <c r="H20" s="40" t="s">
        <v>949</v>
      </c>
      <c r="I20" s="40" t="s">
        <v>950</v>
      </c>
      <c r="J20" s="67" t="s">
        <v>13</v>
      </c>
      <c r="K20" s="40"/>
      <c r="L20" s="1"/>
    </row>
    <row r="21" spans="1:12" s="65" customFormat="1" x14ac:dyDescent="0.25">
      <c r="A21" s="60" t="s">
        <v>962</v>
      </c>
      <c r="B21" s="60" t="s">
        <v>963</v>
      </c>
      <c r="C21" s="61">
        <v>45459</v>
      </c>
      <c r="D21" s="62">
        <v>45462</v>
      </c>
      <c r="E21" s="63">
        <f t="shared" si="0"/>
        <v>4</v>
      </c>
      <c r="F21" s="60">
        <v>11</v>
      </c>
      <c r="G21" s="60" t="s">
        <v>12</v>
      </c>
      <c r="H21" s="60" t="s">
        <v>964</v>
      </c>
      <c r="I21" s="77" t="s">
        <v>965</v>
      </c>
      <c r="J21" s="77"/>
      <c r="K21" s="77"/>
      <c r="L21" s="60"/>
    </row>
    <row r="22" spans="1:12" x14ac:dyDescent="0.25">
      <c r="A22" s="40" t="s">
        <v>983</v>
      </c>
      <c r="B22" s="40" t="s">
        <v>82</v>
      </c>
      <c r="C22" s="41">
        <v>45458</v>
      </c>
      <c r="D22" s="74">
        <v>45464</v>
      </c>
      <c r="E22" s="52">
        <f t="shared" si="0"/>
        <v>7</v>
      </c>
      <c r="F22" s="40">
        <v>44</v>
      </c>
      <c r="G22" s="40" t="s">
        <v>14</v>
      </c>
      <c r="H22" s="40" t="s">
        <v>984</v>
      </c>
      <c r="I22" s="40" t="s">
        <v>985</v>
      </c>
      <c r="J22" s="67"/>
      <c r="K22" s="40"/>
      <c r="L22" s="1"/>
    </row>
    <row r="23" spans="1:12" s="56" customFormat="1" x14ac:dyDescent="0.25">
      <c r="A23" s="53" t="s">
        <v>1009</v>
      </c>
      <c r="B23" s="53" t="s">
        <v>1010</v>
      </c>
      <c r="C23" s="54">
        <v>45460</v>
      </c>
      <c r="D23" s="54">
        <v>45475</v>
      </c>
      <c r="E23" s="55">
        <f t="shared" si="0"/>
        <v>16</v>
      </c>
      <c r="F23" s="53">
        <v>15</v>
      </c>
      <c r="G23" s="53" t="s">
        <v>12</v>
      </c>
      <c r="H23" s="53" t="s">
        <v>1055</v>
      </c>
      <c r="I23" s="58" t="s">
        <v>145</v>
      </c>
      <c r="J23" s="53"/>
      <c r="K23" s="53"/>
      <c r="L23" s="53"/>
    </row>
    <row r="24" spans="1:12" x14ac:dyDescent="0.25">
      <c r="A24" s="40" t="s">
        <v>1011</v>
      </c>
      <c r="B24" s="40" t="s">
        <v>971</v>
      </c>
      <c r="C24" s="41">
        <v>45461</v>
      </c>
      <c r="D24" s="41"/>
      <c r="E24" s="52">
        <f t="shared" si="0"/>
        <v>-45460</v>
      </c>
      <c r="F24" s="40">
        <v>48</v>
      </c>
      <c r="G24" s="40" t="s">
        <v>12</v>
      </c>
      <c r="H24" s="40" t="s">
        <v>1012</v>
      </c>
      <c r="I24" s="40"/>
      <c r="J24" s="71"/>
      <c r="K24" s="40"/>
      <c r="L24" s="1"/>
    </row>
    <row r="25" spans="1:12" x14ac:dyDescent="0.25">
      <c r="A25" s="40" t="s">
        <v>1013</v>
      </c>
      <c r="B25" s="40" t="s">
        <v>1014</v>
      </c>
      <c r="C25" s="41">
        <v>45462</v>
      </c>
      <c r="D25" s="48">
        <v>45463</v>
      </c>
      <c r="E25" s="52">
        <f t="shared" si="0"/>
        <v>2</v>
      </c>
      <c r="F25" s="40">
        <v>42</v>
      </c>
      <c r="G25" s="40" t="s">
        <v>12</v>
      </c>
      <c r="H25" s="40" t="s">
        <v>1015</v>
      </c>
      <c r="I25" s="40" t="s">
        <v>1066</v>
      </c>
      <c r="J25" s="67" t="s">
        <v>13</v>
      </c>
      <c r="K25" s="40"/>
      <c r="L25" s="1"/>
    </row>
    <row r="26" spans="1:12" x14ac:dyDescent="0.25">
      <c r="A26" s="40" t="s">
        <v>970</v>
      </c>
      <c r="B26" s="40" t="s">
        <v>775</v>
      </c>
      <c r="C26" s="41">
        <v>45462</v>
      </c>
      <c r="D26" s="41">
        <v>45467</v>
      </c>
      <c r="E26" s="52">
        <f t="shared" si="0"/>
        <v>6</v>
      </c>
      <c r="F26" s="40">
        <v>68</v>
      </c>
      <c r="G26" s="40" t="s">
        <v>12</v>
      </c>
      <c r="H26" s="40" t="s">
        <v>1016</v>
      </c>
      <c r="I26" s="40" t="s">
        <v>1051</v>
      </c>
      <c r="J26" s="40"/>
      <c r="K26" s="40"/>
      <c r="L26" s="1"/>
    </row>
    <row r="27" spans="1:12" x14ac:dyDescent="0.25">
      <c r="A27" s="40" t="s">
        <v>1017</v>
      </c>
      <c r="B27" s="40" t="s">
        <v>1018</v>
      </c>
      <c r="C27" s="41">
        <v>45464</v>
      </c>
      <c r="D27" s="41">
        <v>45471</v>
      </c>
      <c r="E27" s="52">
        <f t="shared" si="0"/>
        <v>8</v>
      </c>
      <c r="F27" s="40">
        <v>53</v>
      </c>
      <c r="G27" s="40" t="s">
        <v>14</v>
      </c>
      <c r="H27" s="40" t="s">
        <v>1019</v>
      </c>
      <c r="I27" s="40" t="s">
        <v>1054</v>
      </c>
      <c r="J27" s="40"/>
      <c r="K27" s="40"/>
      <c r="L27" s="1"/>
    </row>
    <row r="28" spans="1:12" x14ac:dyDescent="0.25">
      <c r="A28" s="40" t="s">
        <v>1020</v>
      </c>
      <c r="B28" s="40" t="s">
        <v>1021</v>
      </c>
      <c r="C28" s="41">
        <v>45464</v>
      </c>
      <c r="D28" s="74">
        <v>45485</v>
      </c>
      <c r="E28" s="52">
        <f t="shared" si="0"/>
        <v>22</v>
      </c>
      <c r="F28" s="40">
        <v>76</v>
      </c>
      <c r="G28" s="40" t="s">
        <v>12</v>
      </c>
      <c r="H28" s="40" t="s">
        <v>1118</v>
      </c>
      <c r="I28" s="40" t="s">
        <v>1117</v>
      </c>
      <c r="J28" s="67"/>
      <c r="K28" s="40"/>
      <c r="L28" s="1"/>
    </row>
    <row r="29" spans="1:12" s="56" customFormat="1" x14ac:dyDescent="0.25">
      <c r="A29" s="53" t="s">
        <v>1022</v>
      </c>
      <c r="B29" s="53" t="s">
        <v>1023</v>
      </c>
      <c r="C29" s="54">
        <v>45466</v>
      </c>
      <c r="D29" s="54">
        <v>45468</v>
      </c>
      <c r="E29" s="55">
        <f t="shared" si="0"/>
        <v>3</v>
      </c>
      <c r="F29" s="53" t="s">
        <v>1024</v>
      </c>
      <c r="G29" s="53" t="s">
        <v>12</v>
      </c>
      <c r="H29" s="53" t="s">
        <v>1025</v>
      </c>
      <c r="I29" s="58" t="s">
        <v>145</v>
      </c>
      <c r="J29" s="58" t="s">
        <v>167</v>
      </c>
      <c r="K29" s="53"/>
      <c r="L29" s="53"/>
    </row>
    <row r="30" spans="1:12" x14ac:dyDescent="0.25">
      <c r="A30" s="40" t="s">
        <v>1026</v>
      </c>
      <c r="B30" s="40" t="s">
        <v>1027</v>
      </c>
      <c r="C30" s="41">
        <v>45467</v>
      </c>
      <c r="D30" s="41">
        <v>45481</v>
      </c>
      <c r="E30" s="52">
        <f t="shared" si="0"/>
        <v>15</v>
      </c>
      <c r="F30" s="40">
        <v>40</v>
      </c>
      <c r="G30" s="40" t="s">
        <v>12</v>
      </c>
      <c r="H30" s="40" t="s">
        <v>1028</v>
      </c>
      <c r="I30" s="40" t="s">
        <v>1142</v>
      </c>
      <c r="J30" s="40"/>
      <c r="K30" s="40"/>
      <c r="L30" s="1"/>
    </row>
    <row r="31" spans="1:12" x14ac:dyDescent="0.25">
      <c r="A31" s="40" t="s">
        <v>1029</v>
      </c>
      <c r="B31" s="40" t="s">
        <v>1107</v>
      </c>
      <c r="C31" s="41">
        <v>45467</v>
      </c>
      <c r="D31" s="41">
        <v>45489</v>
      </c>
      <c r="E31" s="52">
        <f t="shared" si="0"/>
        <v>23</v>
      </c>
      <c r="F31" s="40">
        <v>30</v>
      </c>
      <c r="G31" s="40" t="s">
        <v>14</v>
      </c>
      <c r="H31" s="40" t="s">
        <v>1108</v>
      </c>
      <c r="I31" s="40" t="s">
        <v>20</v>
      </c>
      <c r="J31" s="40"/>
      <c r="K31" s="40"/>
      <c r="L31" s="1"/>
    </row>
    <row r="32" spans="1:12" x14ac:dyDescent="0.25">
      <c r="A32" s="40" t="s">
        <v>1030</v>
      </c>
      <c r="B32" s="40" t="s">
        <v>1031</v>
      </c>
      <c r="C32" s="41">
        <v>45468</v>
      </c>
      <c r="D32" s="48">
        <v>45477</v>
      </c>
      <c r="E32" s="52">
        <f t="shared" si="0"/>
        <v>10</v>
      </c>
      <c r="F32" s="40">
        <v>41</v>
      </c>
      <c r="G32" s="40" t="s">
        <v>14</v>
      </c>
      <c r="H32" s="40" t="s">
        <v>1119</v>
      </c>
      <c r="I32" s="40" t="s">
        <v>1120</v>
      </c>
      <c r="J32" s="67" t="s">
        <v>13</v>
      </c>
      <c r="K32" s="40"/>
      <c r="L32" s="1"/>
    </row>
    <row r="33" spans="1:12" s="56" customFormat="1" x14ac:dyDescent="0.25">
      <c r="A33" s="53" t="s">
        <v>1032</v>
      </c>
      <c r="B33" s="53" t="s">
        <v>1033</v>
      </c>
      <c r="C33" s="54">
        <v>45468</v>
      </c>
      <c r="D33" s="54">
        <v>45488</v>
      </c>
      <c r="E33" s="55">
        <f t="shared" si="0"/>
        <v>21</v>
      </c>
      <c r="F33" s="53">
        <v>25</v>
      </c>
      <c r="G33" s="53" t="s">
        <v>14</v>
      </c>
      <c r="H33" s="53" t="s">
        <v>1116</v>
      </c>
      <c r="I33" s="58" t="s">
        <v>145</v>
      </c>
      <c r="J33" s="53"/>
      <c r="K33" s="53"/>
      <c r="L33" s="53"/>
    </row>
    <row r="34" spans="1:12" x14ac:dyDescent="0.25">
      <c r="A34" s="40" t="s">
        <v>1034</v>
      </c>
      <c r="B34" s="40" t="s">
        <v>1035</v>
      </c>
      <c r="C34" s="41">
        <v>45468</v>
      </c>
      <c r="D34" s="74">
        <v>45472</v>
      </c>
      <c r="E34" s="52">
        <f t="shared" si="0"/>
        <v>5</v>
      </c>
      <c r="F34" s="40">
        <v>37</v>
      </c>
      <c r="G34" s="40" t="s">
        <v>14</v>
      </c>
      <c r="H34" s="40" t="s">
        <v>1036</v>
      </c>
      <c r="I34" s="40" t="s">
        <v>203</v>
      </c>
      <c r="J34" s="67"/>
      <c r="K34" s="40"/>
      <c r="L34" s="1"/>
    </row>
    <row r="35" spans="1:12" s="19" customFormat="1" x14ac:dyDescent="0.25">
      <c r="A35" s="40" t="s">
        <v>1037</v>
      </c>
      <c r="B35" s="40" t="s">
        <v>57</v>
      </c>
      <c r="C35" s="41">
        <v>45468</v>
      </c>
      <c r="D35" s="74">
        <v>45474</v>
      </c>
      <c r="E35" s="52">
        <f t="shared" si="0"/>
        <v>7</v>
      </c>
      <c r="F35" s="40">
        <v>50</v>
      </c>
      <c r="G35" s="40" t="s">
        <v>14</v>
      </c>
      <c r="H35" s="40" t="s">
        <v>1059</v>
      </c>
      <c r="I35" s="75" t="s">
        <v>1060</v>
      </c>
      <c r="J35" s="67"/>
      <c r="K35" s="67"/>
      <c r="L35" s="18"/>
    </row>
    <row r="36" spans="1:12" x14ac:dyDescent="0.25">
      <c r="A36" s="40" t="s">
        <v>1038</v>
      </c>
      <c r="B36" s="40" t="s">
        <v>927</v>
      </c>
      <c r="C36" s="41">
        <v>45468</v>
      </c>
      <c r="D36" s="48">
        <v>45468</v>
      </c>
      <c r="E36" s="52">
        <f t="shared" si="0"/>
        <v>1</v>
      </c>
      <c r="F36" s="40">
        <v>50</v>
      </c>
      <c r="G36" s="40" t="s">
        <v>12</v>
      </c>
      <c r="H36" s="40" t="s">
        <v>1039</v>
      </c>
      <c r="I36" s="40" t="s">
        <v>1040</v>
      </c>
      <c r="J36" s="67" t="s">
        <v>13</v>
      </c>
      <c r="K36" s="40"/>
      <c r="L36" s="1"/>
    </row>
    <row r="37" spans="1:12" x14ac:dyDescent="0.25">
      <c r="A37" s="40" t="s">
        <v>1041</v>
      </c>
      <c r="B37" s="40" t="s">
        <v>1042</v>
      </c>
      <c r="C37" s="41">
        <v>45468</v>
      </c>
      <c r="D37" s="48">
        <v>45472</v>
      </c>
      <c r="E37" s="52">
        <f t="shared" si="0"/>
        <v>5</v>
      </c>
      <c r="F37" s="40">
        <v>25</v>
      </c>
      <c r="G37" s="40" t="s">
        <v>14</v>
      </c>
      <c r="H37" s="40" t="s">
        <v>1043</v>
      </c>
      <c r="I37" s="40" t="s">
        <v>1056</v>
      </c>
      <c r="J37" s="67" t="s">
        <v>13</v>
      </c>
      <c r="K37" s="40"/>
      <c r="L37" s="1"/>
    </row>
    <row r="38" spans="1:12" x14ac:dyDescent="0.25">
      <c r="A38" s="40" t="s">
        <v>1044</v>
      </c>
      <c r="B38" s="40" t="s">
        <v>604</v>
      </c>
      <c r="C38" s="41">
        <v>45468</v>
      </c>
      <c r="D38" s="41">
        <v>45482</v>
      </c>
      <c r="E38" s="52">
        <f t="shared" si="0"/>
        <v>15</v>
      </c>
      <c r="F38" s="40">
        <v>45</v>
      </c>
      <c r="G38" s="40" t="s">
        <v>14</v>
      </c>
      <c r="H38" s="40" t="s">
        <v>1045</v>
      </c>
      <c r="I38" s="40" t="s">
        <v>1141</v>
      </c>
      <c r="J38" s="40"/>
      <c r="K38" s="40"/>
      <c r="L38" s="1"/>
    </row>
    <row r="39" spans="1:12" s="105" customFormat="1" x14ac:dyDescent="0.25">
      <c r="A39" s="101" t="s">
        <v>1046</v>
      </c>
      <c r="B39" s="101" t="s">
        <v>1047</v>
      </c>
      <c r="C39" s="102">
        <v>45472</v>
      </c>
      <c r="D39" s="102">
        <v>45481</v>
      </c>
      <c r="E39" s="103">
        <f t="shared" si="0"/>
        <v>10</v>
      </c>
      <c r="F39" s="101">
        <v>25</v>
      </c>
      <c r="G39" s="101" t="s">
        <v>14</v>
      </c>
      <c r="H39" s="101" t="s">
        <v>1136</v>
      </c>
      <c r="I39" s="104" t="s">
        <v>1137</v>
      </c>
      <c r="J39" s="101"/>
      <c r="K39" s="101"/>
      <c r="L39" s="101"/>
    </row>
    <row r="40" spans="1:12" x14ac:dyDescent="0.25">
      <c r="A40" s="40" t="s">
        <v>1048</v>
      </c>
      <c r="B40" s="40" t="s">
        <v>1049</v>
      </c>
      <c r="C40" s="41">
        <v>45473</v>
      </c>
      <c r="D40" s="74">
        <v>45476</v>
      </c>
      <c r="E40" s="52">
        <f t="shared" si="0"/>
        <v>4</v>
      </c>
      <c r="F40" s="40">
        <v>21</v>
      </c>
      <c r="G40" s="40" t="s">
        <v>12</v>
      </c>
      <c r="H40" s="40" t="s">
        <v>1050</v>
      </c>
      <c r="I40" s="40" t="s">
        <v>1152</v>
      </c>
      <c r="J40" s="71" t="s">
        <v>1151</v>
      </c>
      <c r="K40" s="71"/>
      <c r="L40" s="1"/>
    </row>
    <row r="41" spans="1:12" x14ac:dyDescent="0.25">
      <c r="A41" s="40" t="s">
        <v>1273</v>
      </c>
      <c r="B41" s="40" t="s">
        <v>1064</v>
      </c>
      <c r="C41" s="41">
        <v>45457</v>
      </c>
      <c r="D41" s="48">
        <v>45458</v>
      </c>
      <c r="E41" s="52">
        <f t="shared" si="0"/>
        <v>2</v>
      </c>
      <c r="F41" s="40">
        <v>58</v>
      </c>
      <c r="G41" s="40" t="s">
        <v>12</v>
      </c>
      <c r="H41" s="40" t="s">
        <v>1065</v>
      </c>
      <c r="I41" s="40" t="s">
        <v>262</v>
      </c>
      <c r="J41" s="67" t="s">
        <v>1063</v>
      </c>
      <c r="K41" s="40"/>
      <c r="L41" s="1"/>
    </row>
    <row r="42" spans="1:12" s="19" customFormat="1" x14ac:dyDescent="0.25">
      <c r="A42" s="40"/>
      <c r="B42" s="40"/>
      <c r="C42" s="41"/>
      <c r="D42" s="41"/>
      <c r="E42" s="52">
        <f t="shared" si="0"/>
        <v>1</v>
      </c>
      <c r="F42" s="40"/>
      <c r="G42" s="40"/>
      <c r="H42" s="40"/>
      <c r="I42" s="71"/>
      <c r="J42" s="40"/>
      <c r="K42" s="40"/>
      <c r="L42" s="18"/>
    </row>
    <row r="43" spans="1:12" x14ac:dyDescent="0.25">
      <c r="A43" s="40"/>
      <c r="B43" s="40"/>
      <c r="C43" s="41"/>
      <c r="D43" s="41"/>
      <c r="E43" s="52">
        <f t="shared" si="0"/>
        <v>1</v>
      </c>
      <c r="F43" s="40"/>
      <c r="G43" s="40"/>
      <c r="H43" s="40"/>
      <c r="I43" s="40"/>
      <c r="J43" s="40"/>
      <c r="K43" s="40"/>
      <c r="L43" s="1"/>
    </row>
    <row r="44" spans="1:12" s="19" customFormat="1" x14ac:dyDescent="0.25">
      <c r="A44" s="40"/>
      <c r="B44" s="40"/>
      <c r="C44" s="41"/>
      <c r="D44" s="48"/>
      <c r="E44" s="52">
        <f t="shared" si="0"/>
        <v>1</v>
      </c>
      <c r="F44" s="40"/>
      <c r="G44" s="40"/>
      <c r="H44" s="40"/>
      <c r="I44" s="71"/>
      <c r="J44" s="67"/>
      <c r="K44" s="40"/>
      <c r="L44" s="18"/>
    </row>
    <row r="45" spans="1:12" x14ac:dyDescent="0.25">
      <c r="A45" s="40"/>
      <c r="B45" s="40"/>
      <c r="C45" s="41"/>
      <c r="D45" s="41"/>
      <c r="E45" s="52">
        <f t="shared" si="0"/>
        <v>1</v>
      </c>
      <c r="F45" s="40"/>
      <c r="G45" s="40"/>
      <c r="H45" s="40"/>
      <c r="I45" s="40"/>
      <c r="J45" s="40"/>
      <c r="K45" s="40"/>
      <c r="L45" s="1"/>
    </row>
    <row r="46" spans="1:12" x14ac:dyDescent="0.25">
      <c r="A46" s="40"/>
      <c r="B46" s="40"/>
      <c r="C46" s="41"/>
      <c r="D46" s="41"/>
      <c r="E46" s="52">
        <f t="shared" si="0"/>
        <v>1</v>
      </c>
      <c r="F46" s="40"/>
      <c r="G46" s="40"/>
      <c r="H46" s="40"/>
      <c r="I46" s="40"/>
      <c r="J46" s="40"/>
      <c r="K46" s="40"/>
      <c r="L46" s="1"/>
    </row>
    <row r="47" spans="1:12" x14ac:dyDescent="0.25">
      <c r="A47" s="40"/>
      <c r="B47" s="40"/>
      <c r="C47" s="41"/>
      <c r="D47" s="41"/>
      <c r="E47" s="52">
        <f t="shared" si="0"/>
        <v>1</v>
      </c>
      <c r="F47" s="40"/>
      <c r="G47" s="40"/>
      <c r="H47" s="40"/>
      <c r="I47" s="40"/>
      <c r="J47" s="40"/>
      <c r="K47" s="40"/>
      <c r="L47" s="1"/>
    </row>
    <row r="48" spans="1:12" x14ac:dyDescent="0.25">
      <c r="A48" s="40"/>
      <c r="B48" s="40"/>
      <c r="C48" s="41"/>
      <c r="D48" s="41"/>
      <c r="E48" s="52">
        <f t="shared" si="0"/>
        <v>1</v>
      </c>
      <c r="F48" s="40"/>
      <c r="G48" s="40"/>
      <c r="H48" s="40"/>
      <c r="I48" s="40"/>
      <c r="J48" s="40"/>
      <c r="K48" s="40"/>
      <c r="L48" s="1"/>
    </row>
    <row r="49" spans="1:12" x14ac:dyDescent="0.25">
      <c r="A49" s="40"/>
      <c r="B49" s="40"/>
      <c r="C49" s="41"/>
      <c r="D49" s="41"/>
      <c r="E49" s="52">
        <f t="shared" si="0"/>
        <v>1</v>
      </c>
      <c r="F49" s="40"/>
      <c r="G49" s="40"/>
      <c r="H49" s="40"/>
      <c r="I49" s="40"/>
      <c r="J49" s="40"/>
      <c r="K49" s="40"/>
      <c r="L49" s="1"/>
    </row>
    <row r="50" spans="1:12" x14ac:dyDescent="0.25">
      <c r="A50" s="40"/>
      <c r="B50" s="40"/>
      <c r="C50" s="41"/>
      <c r="D50" s="41"/>
      <c r="E50" s="52">
        <f t="shared" si="0"/>
        <v>1</v>
      </c>
      <c r="F50" s="40"/>
      <c r="G50" s="40"/>
      <c r="H50" s="40"/>
      <c r="I50" s="40"/>
      <c r="J50" s="40"/>
      <c r="K50" s="40"/>
      <c r="L50" s="1"/>
    </row>
    <row r="51" spans="1:12" x14ac:dyDescent="0.25">
      <c r="A51" s="40"/>
      <c r="B51" s="40"/>
      <c r="C51" s="41"/>
      <c r="D51" s="41"/>
      <c r="E51" s="52">
        <f t="shared" si="0"/>
        <v>1</v>
      </c>
      <c r="F51" s="40"/>
      <c r="G51" s="40"/>
      <c r="H51" s="40"/>
      <c r="I51" s="40"/>
      <c r="J51" s="40"/>
      <c r="K51" s="40"/>
      <c r="L51" s="1"/>
    </row>
    <row r="52" spans="1:12" x14ac:dyDescent="0.25">
      <c r="A52" s="40"/>
      <c r="B52" s="40"/>
      <c r="C52" s="41"/>
      <c r="D52" s="41"/>
      <c r="E52" s="52">
        <f t="shared" si="0"/>
        <v>1</v>
      </c>
      <c r="F52" s="40"/>
      <c r="G52" s="40"/>
      <c r="H52" s="40"/>
      <c r="I52" s="40"/>
      <c r="J52" s="40"/>
      <c r="K52" s="40"/>
      <c r="L52" s="1"/>
    </row>
    <row r="53" spans="1:12" x14ac:dyDescent="0.25">
      <c r="A53" s="40"/>
      <c r="B53" s="40"/>
      <c r="C53" s="41"/>
      <c r="D53" s="41"/>
      <c r="E53" s="52">
        <f t="shared" si="0"/>
        <v>1</v>
      </c>
      <c r="F53" s="40"/>
      <c r="G53" s="40"/>
      <c r="H53" s="40"/>
      <c r="I53" s="40"/>
      <c r="J53" s="71"/>
      <c r="K53" s="40"/>
      <c r="L53" s="1"/>
    </row>
    <row r="54" spans="1:12" x14ac:dyDescent="0.25">
      <c r="A54" s="40"/>
      <c r="B54" s="40"/>
      <c r="C54" s="41"/>
      <c r="D54" s="41"/>
      <c r="E54" s="52">
        <f t="shared" si="0"/>
        <v>1</v>
      </c>
      <c r="F54" s="40"/>
      <c r="G54" s="40"/>
      <c r="H54" s="40"/>
      <c r="I54" s="40"/>
      <c r="J54" s="40"/>
      <c r="K54" s="40"/>
      <c r="L54" s="1"/>
    </row>
    <row r="55" spans="1:12" x14ac:dyDescent="0.25">
      <c r="A55" s="40"/>
      <c r="B55" s="40"/>
      <c r="C55" s="41"/>
      <c r="D55" s="48"/>
      <c r="E55" s="52">
        <f t="shared" si="0"/>
        <v>1</v>
      </c>
      <c r="F55" s="40"/>
      <c r="G55" s="40"/>
      <c r="H55" s="40"/>
      <c r="I55" s="40"/>
      <c r="J55" s="67"/>
      <c r="K55" s="40"/>
      <c r="L55" s="1"/>
    </row>
    <row r="56" spans="1:12" x14ac:dyDescent="0.25">
      <c r="A56" s="40"/>
      <c r="B56" s="40"/>
      <c r="C56" s="41"/>
      <c r="D56" s="41"/>
      <c r="E56" s="52">
        <f t="shared" si="0"/>
        <v>1</v>
      </c>
      <c r="F56" s="40"/>
      <c r="G56" s="40"/>
      <c r="H56" s="40"/>
      <c r="I56" s="40"/>
      <c r="J56" s="40"/>
      <c r="K56" s="40"/>
      <c r="L56" s="1"/>
    </row>
    <row r="57" spans="1:12" x14ac:dyDescent="0.25">
      <c r="A57" s="40"/>
      <c r="B57" s="40"/>
      <c r="C57" s="41"/>
      <c r="D57" s="41"/>
      <c r="E57" s="52">
        <f t="shared" si="0"/>
        <v>1</v>
      </c>
      <c r="F57" s="40"/>
      <c r="G57" s="40"/>
      <c r="H57" s="40"/>
      <c r="I57" s="40"/>
      <c r="J57" s="40"/>
      <c r="K57" s="40"/>
      <c r="L57" s="1"/>
    </row>
    <row r="58" spans="1:12" x14ac:dyDescent="0.25">
      <c r="A58" s="40"/>
      <c r="B58" s="40"/>
      <c r="C58" s="41"/>
      <c r="D58" s="41"/>
      <c r="E58" s="52">
        <f t="shared" si="0"/>
        <v>1</v>
      </c>
      <c r="F58" s="40"/>
      <c r="G58" s="40"/>
      <c r="H58" s="40"/>
      <c r="I58" s="40"/>
      <c r="J58" s="40"/>
      <c r="K58" s="40"/>
      <c r="L58" s="1"/>
    </row>
    <row r="59" spans="1:12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40"/>
      <c r="K59" s="40"/>
      <c r="L59" s="1"/>
    </row>
    <row r="60" spans="1:12" x14ac:dyDescent="0.25">
      <c r="A60" s="40"/>
      <c r="B60" s="40"/>
      <c r="C60" s="41"/>
      <c r="D60" s="41"/>
      <c r="E60" s="52">
        <f t="shared" si="0"/>
        <v>1</v>
      </c>
      <c r="F60" s="40"/>
      <c r="G60" s="40"/>
      <c r="H60" s="40"/>
      <c r="I60" s="40"/>
      <c r="J60" s="67"/>
      <c r="K60" s="40"/>
      <c r="L60" s="1"/>
    </row>
    <row r="61" spans="1:12" x14ac:dyDescent="0.25">
      <c r="A61" s="40"/>
      <c r="B61" s="40"/>
      <c r="C61" s="41"/>
      <c r="D61" s="48"/>
      <c r="E61" s="52">
        <f t="shared" si="0"/>
        <v>1</v>
      </c>
      <c r="F61" s="40"/>
      <c r="G61" s="40"/>
      <c r="H61" s="40"/>
      <c r="I61" s="40"/>
      <c r="J61" s="40"/>
      <c r="K61" s="40"/>
      <c r="L61" s="1"/>
    </row>
    <row r="62" spans="1:12" x14ac:dyDescent="0.25">
      <c r="A62" s="40"/>
      <c r="B62" s="40"/>
      <c r="C62" s="41"/>
      <c r="D62" s="41"/>
      <c r="E62" s="52">
        <f t="shared" si="0"/>
        <v>1</v>
      </c>
      <c r="F62" s="40"/>
      <c r="G62" s="40"/>
      <c r="H62" s="40"/>
      <c r="I62" s="40"/>
      <c r="J62" s="40"/>
      <c r="K62" s="40"/>
      <c r="L62" s="1"/>
    </row>
    <row r="63" spans="1:12" x14ac:dyDescent="0.25">
      <c r="A63" s="40"/>
      <c r="B63" s="40"/>
      <c r="C63" s="41"/>
      <c r="D63" s="48"/>
      <c r="E63" s="52">
        <f t="shared" si="0"/>
        <v>1</v>
      </c>
      <c r="F63" s="40"/>
      <c r="G63" s="40"/>
      <c r="H63" s="40"/>
      <c r="I63" s="40"/>
      <c r="J63" s="67"/>
      <c r="K63" s="42"/>
      <c r="L63" s="1"/>
    </row>
    <row r="64" spans="1:12" x14ac:dyDescent="0.25">
      <c r="A64" s="40"/>
      <c r="B64" s="40"/>
      <c r="C64" s="41"/>
      <c r="D64" s="41"/>
      <c r="E64" s="52">
        <f t="shared" si="0"/>
        <v>1</v>
      </c>
      <c r="F64" s="40"/>
      <c r="G64" s="40"/>
      <c r="H64" s="68"/>
      <c r="I64" s="40"/>
      <c r="J64" s="42"/>
      <c r="K64" s="40"/>
      <c r="L64" s="1"/>
    </row>
    <row r="65" spans="1:13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71"/>
      <c r="K65" s="66"/>
      <c r="L65" s="1"/>
    </row>
    <row r="66" spans="1:13" x14ac:dyDescent="0.25">
      <c r="A66" s="40"/>
      <c r="B66" s="40"/>
      <c r="C66" s="41"/>
      <c r="D66" s="48"/>
      <c r="E66" s="52">
        <f t="shared" ref="E66:E105" si="1">D66-C66+1</f>
        <v>1</v>
      </c>
      <c r="F66" s="40"/>
      <c r="G66" s="40"/>
      <c r="H66" s="40"/>
      <c r="I66" s="40"/>
      <c r="J66" s="67"/>
      <c r="K66" s="40"/>
      <c r="L66" s="1"/>
    </row>
    <row r="67" spans="1:13" s="19" customFormat="1" x14ac:dyDescent="0.25">
      <c r="A67" s="40"/>
      <c r="B67" s="40"/>
      <c r="C67" s="41"/>
      <c r="D67" s="41"/>
      <c r="E67" s="52">
        <f t="shared" si="1"/>
        <v>1</v>
      </c>
      <c r="F67" s="40"/>
      <c r="G67" s="40"/>
      <c r="H67" s="40"/>
      <c r="I67" s="71"/>
      <c r="J67" s="40"/>
      <c r="K67" s="40"/>
      <c r="L67" s="18"/>
    </row>
    <row r="68" spans="1:13" x14ac:dyDescent="0.25">
      <c r="A68" s="40"/>
      <c r="B68" s="40"/>
      <c r="C68" s="41"/>
      <c r="D68" s="41"/>
      <c r="E68" s="52">
        <f t="shared" si="1"/>
        <v>1</v>
      </c>
      <c r="F68" s="40"/>
      <c r="G68" s="40"/>
      <c r="H68" s="40"/>
      <c r="I68" s="71"/>
      <c r="J68" s="40"/>
      <c r="K68" s="40"/>
      <c r="L68" s="1"/>
    </row>
    <row r="69" spans="1:13" x14ac:dyDescent="0.25">
      <c r="A69" s="40"/>
      <c r="B69" s="40"/>
      <c r="C69" s="41"/>
      <c r="D69" s="41"/>
      <c r="E69" s="52">
        <f t="shared" si="1"/>
        <v>1</v>
      </c>
      <c r="F69" s="40"/>
      <c r="G69" s="40"/>
      <c r="H69" s="40"/>
      <c r="I69" s="40"/>
      <c r="J69" s="40"/>
      <c r="K69" s="40"/>
      <c r="L69" s="1"/>
      <c r="M69" s="17"/>
    </row>
    <row r="70" spans="1:13" x14ac:dyDescent="0.25">
      <c r="A70" s="40"/>
      <c r="B70" s="40"/>
      <c r="C70" s="41"/>
      <c r="D70" s="41"/>
      <c r="E70" s="52">
        <f t="shared" si="1"/>
        <v>1</v>
      </c>
      <c r="F70" s="40"/>
      <c r="G70" s="40"/>
      <c r="H70" s="40"/>
      <c r="I70" s="40"/>
      <c r="J70" s="40"/>
      <c r="K70" s="40"/>
      <c r="L70" s="1"/>
    </row>
    <row r="71" spans="1:13" x14ac:dyDescent="0.25">
      <c r="A71" s="40"/>
      <c r="B71" s="40"/>
      <c r="C71" s="41"/>
      <c r="D71" s="74"/>
      <c r="E71" s="52">
        <f t="shared" si="1"/>
        <v>1</v>
      </c>
      <c r="F71" s="40"/>
      <c r="G71" s="40"/>
      <c r="H71" s="40"/>
      <c r="I71" s="40"/>
      <c r="J71" s="40"/>
      <c r="K71" s="40"/>
      <c r="L71" s="1"/>
    </row>
    <row r="72" spans="1:13" x14ac:dyDescent="0.25">
      <c r="A72" s="40"/>
      <c r="B72" s="40"/>
      <c r="C72" s="41"/>
      <c r="D72" s="41"/>
      <c r="E72" s="52">
        <f t="shared" si="1"/>
        <v>1</v>
      </c>
      <c r="F72" s="40"/>
      <c r="G72" s="40"/>
      <c r="H72" s="40"/>
      <c r="I72" s="40"/>
      <c r="J72" s="40"/>
      <c r="K72" s="66"/>
      <c r="L72" s="1"/>
    </row>
    <row r="73" spans="1:13" s="19" customFormat="1" x14ac:dyDescent="0.25">
      <c r="A73" s="40"/>
      <c r="B73" s="40"/>
      <c r="C73" s="41"/>
      <c r="D73" s="41"/>
      <c r="E73" s="52">
        <f t="shared" si="1"/>
        <v>1</v>
      </c>
      <c r="F73" s="40"/>
      <c r="G73" s="40"/>
      <c r="H73" s="40"/>
      <c r="I73" s="71"/>
      <c r="J73" s="66"/>
      <c r="K73" s="40"/>
      <c r="L73" s="18"/>
    </row>
    <row r="74" spans="1:13" x14ac:dyDescent="0.25">
      <c r="A74" s="40"/>
      <c r="B74" s="40"/>
      <c r="C74" s="41"/>
      <c r="D74" s="48"/>
      <c r="E74" s="52">
        <f t="shared" si="1"/>
        <v>1</v>
      </c>
      <c r="F74" s="40"/>
      <c r="G74" s="40"/>
      <c r="H74" s="40"/>
      <c r="I74" s="40"/>
      <c r="J74" s="67"/>
      <c r="K74" s="40"/>
      <c r="L74" s="1"/>
    </row>
    <row r="75" spans="1:13" x14ac:dyDescent="0.25">
      <c r="A75" s="40"/>
      <c r="B75" s="40"/>
      <c r="C75" s="41"/>
      <c r="D75" s="41"/>
      <c r="E75" s="52">
        <f t="shared" si="1"/>
        <v>1</v>
      </c>
      <c r="F75" s="40"/>
      <c r="G75" s="40"/>
      <c r="H75" s="40"/>
      <c r="I75" s="71"/>
      <c r="J75" s="40"/>
      <c r="K75" s="40"/>
      <c r="L75" s="1"/>
    </row>
    <row r="76" spans="1:13" s="19" customFormat="1" x14ac:dyDescent="0.25">
      <c r="A76" s="40"/>
      <c r="B76" s="40"/>
      <c r="C76" s="41"/>
      <c r="D76" s="41"/>
      <c r="E76" s="52">
        <f t="shared" si="1"/>
        <v>1</v>
      </c>
      <c r="F76" s="40"/>
      <c r="G76" s="40"/>
      <c r="H76" s="40"/>
      <c r="I76" s="71"/>
      <c r="J76" s="40"/>
      <c r="K76" s="40"/>
      <c r="L76" s="18"/>
    </row>
    <row r="77" spans="1:13" x14ac:dyDescent="0.25">
      <c r="A77" s="40"/>
      <c r="B77" s="40"/>
      <c r="C77" s="41"/>
      <c r="D77" s="41"/>
      <c r="E77" s="52">
        <f t="shared" si="1"/>
        <v>1</v>
      </c>
      <c r="F77" s="40"/>
      <c r="G77" s="40"/>
      <c r="H77" s="40"/>
      <c r="I77" s="40"/>
      <c r="J77" s="40"/>
      <c r="K77" s="40"/>
      <c r="L77" s="1"/>
    </row>
    <row r="78" spans="1:13" x14ac:dyDescent="0.25">
      <c r="A78" s="40"/>
      <c r="B78" s="40"/>
      <c r="C78" s="41"/>
      <c r="D78" s="41"/>
      <c r="E78" s="52">
        <f t="shared" si="1"/>
        <v>1</v>
      </c>
      <c r="F78" s="40"/>
      <c r="G78" s="40"/>
      <c r="H78" s="40"/>
      <c r="I78" s="40"/>
      <c r="J78" s="40"/>
      <c r="K78" s="40"/>
      <c r="L78" s="1"/>
    </row>
    <row r="79" spans="1:13" x14ac:dyDescent="0.25">
      <c r="A79" s="40"/>
      <c r="B79" s="40"/>
      <c r="C79" s="41"/>
      <c r="D79" s="41"/>
      <c r="E79" s="52">
        <f t="shared" si="1"/>
        <v>1</v>
      </c>
      <c r="F79" s="40"/>
      <c r="G79" s="40"/>
      <c r="H79" s="40"/>
      <c r="I79" s="40"/>
      <c r="J79" s="40"/>
      <c r="K79" s="40"/>
      <c r="L79" s="1"/>
    </row>
    <row r="80" spans="1:13" x14ac:dyDescent="0.25">
      <c r="A80" s="40"/>
      <c r="B80" s="40"/>
      <c r="C80" s="41"/>
      <c r="D80" s="48"/>
      <c r="E80" s="52">
        <f t="shared" si="1"/>
        <v>1</v>
      </c>
      <c r="F80" s="40"/>
      <c r="G80" s="40"/>
      <c r="H80" s="40"/>
      <c r="I80" s="40"/>
      <c r="J80" s="67"/>
      <c r="K80" s="40"/>
      <c r="L80" s="1"/>
    </row>
    <row r="81" spans="1:12" x14ac:dyDescent="0.25">
      <c r="A81" s="40"/>
      <c r="B81" s="40"/>
      <c r="C81" s="41"/>
      <c r="D81" s="48"/>
      <c r="E81" s="52">
        <f t="shared" si="1"/>
        <v>1</v>
      </c>
      <c r="F81" s="40"/>
      <c r="G81" s="40"/>
      <c r="H81" s="40"/>
      <c r="I81" s="40"/>
      <c r="J81" s="67"/>
      <c r="K81" s="42"/>
      <c r="L81" s="1"/>
    </row>
    <row r="82" spans="1:12" x14ac:dyDescent="0.25">
      <c r="A82" s="40"/>
      <c r="B82" s="40"/>
      <c r="C82" s="41"/>
      <c r="D82" s="41"/>
      <c r="E82" s="52">
        <f t="shared" si="1"/>
        <v>1</v>
      </c>
      <c r="F82" s="40"/>
      <c r="G82" s="40"/>
      <c r="H82" s="40"/>
      <c r="I82" s="40"/>
      <c r="J82" s="42"/>
      <c r="K82" s="40"/>
      <c r="L82" s="1"/>
    </row>
    <row r="83" spans="1:12" s="19" customFormat="1" x14ac:dyDescent="0.25">
      <c r="A83" s="40"/>
      <c r="B83" s="40"/>
      <c r="C83" s="41"/>
      <c r="D83" s="41"/>
      <c r="E83" s="52">
        <f t="shared" si="1"/>
        <v>1</v>
      </c>
      <c r="F83" s="40"/>
      <c r="G83" s="40"/>
      <c r="H83" s="40"/>
      <c r="I83" s="71"/>
      <c r="J83" s="40"/>
      <c r="K83" s="40"/>
      <c r="L83" s="18"/>
    </row>
    <row r="84" spans="1:12" x14ac:dyDescent="0.25">
      <c r="A84" s="40"/>
      <c r="B84" s="40"/>
      <c r="C84" s="41"/>
      <c r="D84" s="48"/>
      <c r="E84" s="52">
        <f t="shared" si="1"/>
        <v>1</v>
      </c>
      <c r="F84" s="40"/>
      <c r="G84" s="40"/>
      <c r="H84" s="40"/>
      <c r="I84" s="40"/>
      <c r="J84" s="67"/>
      <c r="K84" s="40"/>
      <c r="L84" s="1"/>
    </row>
    <row r="85" spans="1:12" x14ac:dyDescent="0.25">
      <c r="A85" s="40"/>
      <c r="B85" s="40"/>
      <c r="C85" s="74"/>
      <c r="D85" s="74"/>
      <c r="E85" s="52">
        <f t="shared" si="1"/>
        <v>1</v>
      </c>
      <c r="F85" s="75"/>
      <c r="G85" s="40"/>
      <c r="H85" s="40"/>
      <c r="I85" s="40"/>
      <c r="J85" s="67"/>
      <c r="K85" s="67"/>
      <c r="L85" s="22"/>
    </row>
    <row r="86" spans="1:12" x14ac:dyDescent="0.25">
      <c r="A86" s="75"/>
      <c r="B86" s="40"/>
      <c r="C86" s="41"/>
      <c r="D86" s="40"/>
      <c r="E86" s="52">
        <f t="shared" si="1"/>
        <v>1</v>
      </c>
      <c r="F86" s="40"/>
      <c r="G86" s="40"/>
      <c r="H86" s="40"/>
      <c r="I86" s="40"/>
      <c r="J86" s="40"/>
      <c r="K86" s="40"/>
      <c r="L86" s="1"/>
    </row>
    <row r="87" spans="1:12" x14ac:dyDescent="0.25">
      <c r="A87" s="40"/>
      <c r="B87" s="40"/>
      <c r="C87" s="41"/>
      <c r="D87" s="40"/>
      <c r="E87" s="52">
        <f t="shared" si="1"/>
        <v>1</v>
      </c>
      <c r="F87" s="40"/>
      <c r="G87" s="40"/>
      <c r="H87" s="40"/>
      <c r="I87" s="40"/>
      <c r="J87" s="40"/>
      <c r="K87" s="40"/>
      <c r="L87" s="1"/>
    </row>
    <row r="88" spans="1:12" s="31" customFormat="1" x14ac:dyDescent="0.25">
      <c r="A88" s="40"/>
      <c r="B88" s="40"/>
      <c r="C88" s="41"/>
      <c r="D88" s="40"/>
      <c r="E88" s="52">
        <f t="shared" si="1"/>
        <v>1</v>
      </c>
      <c r="F88" s="40"/>
      <c r="G88" s="40"/>
      <c r="H88" s="40"/>
      <c r="I88" s="40"/>
      <c r="J88" s="40"/>
      <c r="K88" s="40"/>
      <c r="L88" s="30"/>
    </row>
    <row r="89" spans="1:12" s="29" customFormat="1" x14ac:dyDescent="0.25">
      <c r="A89" s="40"/>
      <c r="B89" s="40"/>
      <c r="C89" s="41"/>
      <c r="D89" s="41"/>
      <c r="E89" s="52">
        <f t="shared" si="1"/>
        <v>1</v>
      </c>
      <c r="F89" s="40"/>
      <c r="G89" s="40"/>
      <c r="H89" s="40"/>
      <c r="I89" s="40"/>
      <c r="J89" s="40"/>
      <c r="K89" s="40"/>
      <c r="L89" s="28"/>
    </row>
    <row r="90" spans="1:12" x14ac:dyDescent="0.25">
      <c r="A90" s="40"/>
      <c r="B90" s="40"/>
      <c r="C90" s="40"/>
      <c r="D90" s="40"/>
      <c r="E90" s="52">
        <f t="shared" si="1"/>
        <v>1</v>
      </c>
      <c r="F90" s="40"/>
      <c r="G90" s="40"/>
      <c r="H90" s="40"/>
      <c r="I90" s="40"/>
      <c r="J90" s="40"/>
      <c r="K90" s="40"/>
      <c r="L90" s="1"/>
    </row>
    <row r="91" spans="1:12" x14ac:dyDescent="0.25">
      <c r="A91" s="40"/>
      <c r="B91" s="40"/>
      <c r="C91" s="40"/>
      <c r="D91" s="40"/>
      <c r="E91" s="52">
        <f t="shared" si="1"/>
        <v>1</v>
      </c>
      <c r="F91" s="40"/>
      <c r="G91" s="40"/>
      <c r="H91" s="40"/>
      <c r="I91" s="40"/>
      <c r="J91" s="40"/>
      <c r="K91" s="40"/>
      <c r="L91" s="1"/>
    </row>
    <row r="92" spans="1:12" x14ac:dyDescent="0.25">
      <c r="A92" s="40"/>
      <c r="B92" s="40"/>
      <c r="C92" s="40"/>
      <c r="D92" s="41"/>
      <c r="E92" s="52">
        <f t="shared" si="1"/>
        <v>1</v>
      </c>
      <c r="F92" s="40"/>
      <c r="G92" s="40"/>
      <c r="H92" s="40"/>
      <c r="I92" s="40"/>
      <c r="J92" s="40"/>
      <c r="K92" s="40"/>
      <c r="L92" s="1"/>
    </row>
    <row r="93" spans="1:12" x14ac:dyDescent="0.25">
      <c r="A93" s="40"/>
      <c r="B93" s="40"/>
      <c r="C93" s="40"/>
      <c r="D93" s="40"/>
      <c r="E93" s="52">
        <f t="shared" si="1"/>
        <v>1</v>
      </c>
      <c r="F93" s="40"/>
      <c r="G93" s="40"/>
      <c r="H93" s="40"/>
      <c r="I93" s="40"/>
      <c r="J93" s="40"/>
      <c r="K93" s="40"/>
      <c r="L93" s="1"/>
    </row>
    <row r="94" spans="1:12" x14ac:dyDescent="0.25">
      <c r="A94" s="40"/>
      <c r="B94" s="40"/>
      <c r="C94" s="40"/>
      <c r="D94" s="40"/>
      <c r="E94" s="52">
        <f t="shared" si="1"/>
        <v>1</v>
      </c>
      <c r="F94" s="40"/>
      <c r="G94" s="40"/>
      <c r="H94" s="40"/>
      <c r="I94" s="40"/>
      <c r="J94" s="40"/>
      <c r="K94" s="40"/>
      <c r="L94" s="1"/>
    </row>
    <row r="95" spans="1:12" x14ac:dyDescent="0.25">
      <c r="A95" s="40"/>
      <c r="B95" s="40"/>
      <c r="C95" s="40"/>
      <c r="D95" s="40"/>
      <c r="E95" s="52">
        <f t="shared" si="1"/>
        <v>1</v>
      </c>
      <c r="F95" s="40"/>
      <c r="G95" s="40"/>
      <c r="H95" s="40"/>
      <c r="I95" s="40"/>
      <c r="J95" s="40"/>
      <c r="K95" s="40"/>
      <c r="L95" s="1"/>
    </row>
    <row r="96" spans="1:12" x14ac:dyDescent="0.25">
      <c r="A96" s="40"/>
      <c r="B96" s="40"/>
      <c r="C96" s="40"/>
      <c r="D96" s="40"/>
      <c r="E96" s="52">
        <f t="shared" si="1"/>
        <v>1</v>
      </c>
      <c r="F96" s="40"/>
      <c r="G96" s="40"/>
      <c r="H96" s="40"/>
      <c r="I96" s="40"/>
      <c r="J96" s="40"/>
      <c r="K96" s="40"/>
      <c r="L96" s="1"/>
    </row>
    <row r="97" spans="1:12" x14ac:dyDescent="0.25">
      <c r="A97" s="40"/>
      <c r="B97" s="40"/>
      <c r="C97" s="40"/>
      <c r="D97" s="41"/>
      <c r="E97" s="52">
        <f t="shared" si="1"/>
        <v>1</v>
      </c>
      <c r="F97" s="40"/>
      <c r="G97" s="40"/>
      <c r="H97" s="40"/>
      <c r="I97" s="40"/>
      <c r="J97" s="40"/>
      <c r="K97" s="40"/>
      <c r="L97" s="1"/>
    </row>
    <row r="98" spans="1:12" x14ac:dyDescent="0.25">
      <c r="A98" s="1"/>
      <c r="B98" s="1"/>
      <c r="C98" s="1"/>
      <c r="D98" s="1"/>
      <c r="E98" s="52">
        <f t="shared" si="1"/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52">
        <f t="shared" si="1"/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52">
        <f t="shared" si="1"/>
        <v>1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52">
        <f t="shared" si="1"/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52">
        <f t="shared" si="1"/>
        <v>1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52">
        <f t="shared" si="1"/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52">
        <f t="shared" si="1"/>
        <v>1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52">
        <f t="shared" si="1"/>
        <v>1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opLeftCell="A37" zoomScale="110" zoomScaleNormal="110" workbookViewId="0">
      <selection activeCell="B54" sqref="B54"/>
    </sheetView>
  </sheetViews>
  <sheetFormatPr baseColWidth="10" defaultRowHeight="15" x14ac:dyDescent="0.25"/>
  <cols>
    <col min="1" max="1" width="14.5703125" customWidth="1"/>
    <col min="2" max="2" width="24.85546875" customWidth="1"/>
    <col min="3" max="3" width="13.140625" customWidth="1"/>
    <col min="4" max="4" width="13.5703125" customWidth="1"/>
    <col min="5" max="5" width="14.5703125" customWidth="1"/>
    <col min="6" max="6" width="5.5703125" customWidth="1"/>
    <col min="7" max="7" width="5" customWidth="1"/>
    <col min="8" max="8" width="33.42578125" customWidth="1"/>
    <col min="9" max="9" width="27" customWidth="1"/>
    <col min="10" max="10" width="14.28515625" customWidth="1"/>
  </cols>
  <sheetData>
    <row r="1" spans="1:13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3" s="19" customFormat="1" x14ac:dyDescent="0.25">
      <c r="A2" s="40" t="s">
        <v>1067</v>
      </c>
      <c r="B2" s="40" t="s">
        <v>79</v>
      </c>
      <c r="C2" s="41">
        <v>45474</v>
      </c>
      <c r="D2" s="41">
        <v>45482</v>
      </c>
      <c r="E2" s="52">
        <f t="shared" ref="E2:E65" si="0">D2-C2+1</f>
        <v>9</v>
      </c>
      <c r="F2" s="40">
        <v>22</v>
      </c>
      <c r="G2" s="40" t="s">
        <v>14</v>
      </c>
      <c r="H2" s="40" t="s">
        <v>1134</v>
      </c>
      <c r="I2" s="75" t="s">
        <v>1135</v>
      </c>
      <c r="J2" s="40"/>
      <c r="K2" s="40"/>
      <c r="L2" s="40"/>
      <c r="M2" s="42"/>
    </row>
    <row r="3" spans="1:13" s="19" customFormat="1" x14ac:dyDescent="0.25">
      <c r="A3" s="40" t="s">
        <v>1174</v>
      </c>
      <c r="B3" s="40" t="s">
        <v>1175</v>
      </c>
      <c r="C3" s="41">
        <v>45475</v>
      </c>
      <c r="D3" s="41">
        <v>45483</v>
      </c>
      <c r="E3" s="52">
        <f t="shared" si="0"/>
        <v>9</v>
      </c>
      <c r="F3" s="40">
        <v>35</v>
      </c>
      <c r="G3" s="40" t="s">
        <v>14</v>
      </c>
      <c r="H3" s="40" t="s">
        <v>1176</v>
      </c>
      <c r="I3" s="75" t="s">
        <v>1177</v>
      </c>
      <c r="J3" s="40"/>
      <c r="K3" s="40"/>
      <c r="L3" s="40"/>
      <c r="M3" s="42"/>
    </row>
    <row r="4" spans="1:13" s="49" customFormat="1" x14ac:dyDescent="0.25">
      <c r="A4" s="40" t="s">
        <v>1170</v>
      </c>
      <c r="B4" s="40" t="s">
        <v>1171</v>
      </c>
      <c r="C4" s="41">
        <v>45475</v>
      </c>
      <c r="D4" s="41">
        <v>45482</v>
      </c>
      <c r="E4" s="52">
        <f t="shared" si="0"/>
        <v>8</v>
      </c>
      <c r="F4" s="40">
        <v>46</v>
      </c>
      <c r="G4" s="40" t="s">
        <v>12</v>
      </c>
      <c r="H4" s="40" t="s">
        <v>1172</v>
      </c>
      <c r="I4" s="75" t="s">
        <v>1173</v>
      </c>
      <c r="J4" s="40"/>
      <c r="K4" s="40"/>
      <c r="L4" s="40"/>
      <c r="M4" s="42"/>
    </row>
    <row r="5" spans="1:13" x14ac:dyDescent="0.25">
      <c r="A5" s="40" t="s">
        <v>1121</v>
      </c>
      <c r="B5" s="40" t="s">
        <v>1122</v>
      </c>
      <c r="C5" s="41">
        <v>45475</v>
      </c>
      <c r="D5" s="74">
        <v>45485</v>
      </c>
      <c r="E5" s="52">
        <f t="shared" si="0"/>
        <v>11</v>
      </c>
      <c r="F5" s="40">
        <v>58</v>
      </c>
      <c r="G5" s="40" t="s">
        <v>12</v>
      </c>
      <c r="H5" s="40" t="s">
        <v>1123</v>
      </c>
      <c r="I5" s="40" t="s">
        <v>1124</v>
      </c>
      <c r="J5" s="67"/>
      <c r="K5" s="40"/>
      <c r="L5" s="40"/>
      <c r="M5" s="42"/>
    </row>
    <row r="6" spans="1:13" x14ac:dyDescent="0.25">
      <c r="A6" s="40" t="s">
        <v>1206</v>
      </c>
      <c r="B6" s="40" t="s">
        <v>1207</v>
      </c>
      <c r="C6" s="41">
        <v>45476</v>
      </c>
      <c r="D6" s="41"/>
      <c r="E6" s="52">
        <f t="shared" si="0"/>
        <v>-45475</v>
      </c>
      <c r="F6" s="40">
        <v>29</v>
      </c>
      <c r="G6" s="40" t="s">
        <v>12</v>
      </c>
      <c r="H6" s="40" t="s">
        <v>1208</v>
      </c>
      <c r="I6" s="40" t="s">
        <v>1209</v>
      </c>
      <c r="J6" s="40"/>
      <c r="K6" s="40"/>
      <c r="L6" s="40"/>
      <c r="M6" s="42"/>
    </row>
    <row r="7" spans="1:13" x14ac:dyDescent="0.25">
      <c r="A7" s="40" t="s">
        <v>1162</v>
      </c>
      <c r="B7" s="40" t="s">
        <v>1163</v>
      </c>
      <c r="C7" s="41">
        <v>45476</v>
      </c>
      <c r="D7" s="74">
        <v>45497</v>
      </c>
      <c r="E7" s="52">
        <f t="shared" si="0"/>
        <v>22</v>
      </c>
      <c r="F7" s="40">
        <v>38</v>
      </c>
      <c r="G7" s="40" t="s">
        <v>12</v>
      </c>
      <c r="H7" s="40" t="s">
        <v>1164</v>
      </c>
      <c r="I7" s="40" t="s">
        <v>1165</v>
      </c>
      <c r="J7" s="67"/>
      <c r="K7" s="40"/>
      <c r="L7" s="40"/>
      <c r="M7" s="42"/>
    </row>
    <row r="8" spans="1:13" s="19" customFormat="1" x14ac:dyDescent="0.25">
      <c r="A8" s="40" t="s">
        <v>1126</v>
      </c>
      <c r="B8" s="40" t="s">
        <v>1127</v>
      </c>
      <c r="C8" s="41">
        <v>45476</v>
      </c>
      <c r="D8" s="74">
        <v>45484</v>
      </c>
      <c r="E8" s="52">
        <f t="shared" si="0"/>
        <v>9</v>
      </c>
      <c r="F8" s="40">
        <v>25</v>
      </c>
      <c r="G8" s="40" t="s">
        <v>12</v>
      </c>
      <c r="H8" s="40" t="s">
        <v>1128</v>
      </c>
      <c r="I8" s="75" t="s">
        <v>46</v>
      </c>
      <c r="J8" s="67"/>
      <c r="K8" s="40"/>
      <c r="L8" s="40"/>
      <c r="M8" s="42"/>
    </row>
    <row r="9" spans="1:13" x14ac:dyDescent="0.25">
      <c r="A9" s="40" t="s">
        <v>1068</v>
      </c>
      <c r="B9" s="40" t="s">
        <v>1069</v>
      </c>
      <c r="C9" s="41">
        <v>45476</v>
      </c>
      <c r="D9" s="74">
        <v>45483</v>
      </c>
      <c r="E9" s="52">
        <f t="shared" si="0"/>
        <v>8</v>
      </c>
      <c r="F9" s="40">
        <v>30</v>
      </c>
      <c r="G9" s="40" t="s">
        <v>12</v>
      </c>
      <c r="H9" s="40" t="s">
        <v>1070</v>
      </c>
      <c r="I9" s="40" t="s">
        <v>1071</v>
      </c>
      <c r="J9" s="67"/>
      <c r="K9" s="40"/>
      <c r="L9" s="40"/>
      <c r="M9" s="42"/>
    </row>
    <row r="10" spans="1:13" x14ac:dyDescent="0.25">
      <c r="A10" s="40" t="s">
        <v>1102</v>
      </c>
      <c r="B10" s="40" t="s">
        <v>1103</v>
      </c>
      <c r="C10" s="41">
        <v>45476</v>
      </c>
      <c r="D10" s="41">
        <v>45477</v>
      </c>
      <c r="E10" s="52">
        <f t="shared" si="0"/>
        <v>2</v>
      </c>
      <c r="F10" s="40">
        <v>90</v>
      </c>
      <c r="G10" s="40" t="s">
        <v>14</v>
      </c>
      <c r="H10" s="40" t="s">
        <v>1104</v>
      </c>
      <c r="I10" s="40" t="s">
        <v>1105</v>
      </c>
      <c r="J10" s="71" t="s">
        <v>1106</v>
      </c>
      <c r="K10" s="40"/>
      <c r="L10" s="40"/>
      <c r="M10" s="42"/>
    </row>
    <row r="11" spans="1:13" s="65" customFormat="1" x14ac:dyDescent="0.25">
      <c r="A11" s="106" t="s">
        <v>1129</v>
      </c>
      <c r="B11" s="60" t="s">
        <v>1130</v>
      </c>
      <c r="C11" s="61">
        <v>45477</v>
      </c>
      <c r="D11" s="76">
        <v>45487</v>
      </c>
      <c r="E11" s="63">
        <f t="shared" si="0"/>
        <v>11</v>
      </c>
      <c r="F11" s="60" t="s">
        <v>1131</v>
      </c>
      <c r="G11" s="60" t="s">
        <v>12</v>
      </c>
      <c r="H11" s="60" t="s">
        <v>1132</v>
      </c>
      <c r="I11" s="107" t="s">
        <v>1133</v>
      </c>
      <c r="J11" s="77" t="s">
        <v>13</v>
      </c>
      <c r="K11" s="60"/>
      <c r="L11" s="60"/>
    </row>
    <row r="12" spans="1:13" x14ac:dyDescent="0.25">
      <c r="A12" s="40" t="s">
        <v>1153</v>
      </c>
      <c r="B12" s="40" t="s">
        <v>1154</v>
      </c>
      <c r="C12" s="41">
        <v>45478</v>
      </c>
      <c r="D12" s="41">
        <v>45484</v>
      </c>
      <c r="E12" s="52">
        <f t="shared" si="0"/>
        <v>7</v>
      </c>
      <c r="F12" s="40">
        <v>67</v>
      </c>
      <c r="G12" s="40" t="s">
        <v>12</v>
      </c>
      <c r="H12" s="40" t="s">
        <v>1155</v>
      </c>
      <c r="I12" s="40" t="s">
        <v>1259</v>
      </c>
      <c r="J12" s="71" t="s">
        <v>28</v>
      </c>
      <c r="K12" s="40"/>
      <c r="L12" s="40"/>
      <c r="M12" s="42"/>
    </row>
    <row r="13" spans="1:13" x14ac:dyDescent="0.25">
      <c r="A13" s="40" t="s">
        <v>1210</v>
      </c>
      <c r="B13" s="40" t="s">
        <v>1211</v>
      </c>
      <c r="C13" s="41">
        <v>45478</v>
      </c>
      <c r="D13" s="74">
        <v>45506</v>
      </c>
      <c r="E13" s="52">
        <f t="shared" si="0"/>
        <v>29</v>
      </c>
      <c r="F13" s="40">
        <v>46</v>
      </c>
      <c r="G13" s="40" t="s">
        <v>12</v>
      </c>
      <c r="H13" s="40" t="s">
        <v>1212</v>
      </c>
      <c r="I13" s="40" t="s">
        <v>1260</v>
      </c>
      <c r="J13" s="67"/>
      <c r="K13" s="40"/>
      <c r="L13" s="40"/>
      <c r="M13" s="42"/>
    </row>
    <row r="14" spans="1:13" x14ac:dyDescent="0.25">
      <c r="A14" s="40" t="s">
        <v>1109</v>
      </c>
      <c r="B14" s="40" t="s">
        <v>1110</v>
      </c>
      <c r="C14" s="41">
        <v>45478</v>
      </c>
      <c r="D14" s="41">
        <v>45492</v>
      </c>
      <c r="E14" s="52">
        <f t="shared" si="0"/>
        <v>15</v>
      </c>
      <c r="F14" s="40">
        <v>57</v>
      </c>
      <c r="G14" s="40" t="s">
        <v>12</v>
      </c>
      <c r="H14" s="40" t="s">
        <v>1111</v>
      </c>
      <c r="I14" s="40" t="s">
        <v>1112</v>
      </c>
      <c r="J14" s="40"/>
      <c r="K14" s="40"/>
      <c r="L14" s="40"/>
      <c r="M14" s="42"/>
    </row>
    <row r="15" spans="1:13" x14ac:dyDescent="0.25">
      <c r="A15" s="40" t="s">
        <v>1213</v>
      </c>
      <c r="B15" s="40" t="s">
        <v>1214</v>
      </c>
      <c r="C15" s="41">
        <v>45478</v>
      </c>
      <c r="D15" s="41">
        <v>45506</v>
      </c>
      <c r="E15" s="52">
        <f t="shared" si="0"/>
        <v>29</v>
      </c>
      <c r="F15" s="40">
        <v>57</v>
      </c>
      <c r="G15" s="40" t="s">
        <v>12</v>
      </c>
      <c r="H15" s="40" t="s">
        <v>1215</v>
      </c>
      <c r="I15" s="40" t="s">
        <v>1071</v>
      </c>
      <c r="J15" s="40"/>
      <c r="K15" s="40"/>
      <c r="L15" s="40"/>
      <c r="M15" s="42"/>
    </row>
    <row r="16" spans="1:13" x14ac:dyDescent="0.25">
      <c r="A16" s="40" t="s">
        <v>1143</v>
      </c>
      <c r="B16" s="40" t="s">
        <v>884</v>
      </c>
      <c r="C16" s="41">
        <v>45479</v>
      </c>
      <c r="D16" s="41">
        <v>45499</v>
      </c>
      <c r="E16" s="52">
        <f t="shared" si="0"/>
        <v>21</v>
      </c>
      <c r="F16" s="40">
        <v>38</v>
      </c>
      <c r="G16" s="40" t="s">
        <v>12</v>
      </c>
      <c r="H16" s="40" t="s">
        <v>885</v>
      </c>
      <c r="I16" s="40" t="s">
        <v>1144</v>
      </c>
      <c r="J16" s="40"/>
      <c r="K16" s="40"/>
      <c r="L16" s="40"/>
      <c r="M16" s="42"/>
    </row>
    <row r="17" spans="1:13" x14ac:dyDescent="0.25">
      <c r="A17" s="40" t="s">
        <v>1189</v>
      </c>
      <c r="B17" s="40" t="s">
        <v>1190</v>
      </c>
      <c r="C17" s="41">
        <v>45481</v>
      </c>
      <c r="D17" s="41">
        <v>45502</v>
      </c>
      <c r="E17" s="52">
        <f t="shared" si="0"/>
        <v>22</v>
      </c>
      <c r="F17" s="40">
        <v>57</v>
      </c>
      <c r="G17" s="40" t="s">
        <v>14</v>
      </c>
      <c r="H17" s="40" t="s">
        <v>1191</v>
      </c>
      <c r="I17" s="40" t="s">
        <v>1144</v>
      </c>
      <c r="J17" s="40"/>
      <c r="K17" s="40"/>
      <c r="L17" s="40"/>
      <c r="M17" s="42"/>
    </row>
    <row r="18" spans="1:13" x14ac:dyDescent="0.25">
      <c r="A18" s="40" t="s">
        <v>1072</v>
      </c>
      <c r="B18" s="40" t="s">
        <v>1182</v>
      </c>
      <c r="C18" s="41">
        <v>45481</v>
      </c>
      <c r="D18" s="41">
        <v>45499</v>
      </c>
      <c r="E18" s="52">
        <f t="shared" si="0"/>
        <v>19</v>
      </c>
      <c r="F18" s="40">
        <v>56</v>
      </c>
      <c r="G18" s="40" t="s">
        <v>14</v>
      </c>
      <c r="H18" s="40" t="s">
        <v>1183</v>
      </c>
      <c r="I18" s="40" t="s">
        <v>1184</v>
      </c>
      <c r="J18" s="71"/>
      <c r="K18" s="40"/>
      <c r="L18" s="40"/>
      <c r="M18" s="42"/>
    </row>
    <row r="19" spans="1:13" s="100" customFormat="1" x14ac:dyDescent="0.25">
      <c r="A19" s="98" t="s">
        <v>1087</v>
      </c>
      <c r="B19" s="98" t="s">
        <v>1088</v>
      </c>
      <c r="C19" s="96">
        <v>45482</v>
      </c>
      <c r="D19" s="96">
        <v>45492</v>
      </c>
      <c r="E19" s="99">
        <f t="shared" si="0"/>
        <v>11</v>
      </c>
      <c r="F19" s="98">
        <v>49</v>
      </c>
      <c r="G19" s="98" t="s">
        <v>12</v>
      </c>
      <c r="H19" s="98" t="s">
        <v>1089</v>
      </c>
      <c r="I19" s="91" t="s">
        <v>145</v>
      </c>
      <c r="J19" s="95"/>
      <c r="K19" s="98"/>
      <c r="L19" s="98"/>
    </row>
    <row r="20" spans="1:13" x14ac:dyDescent="0.25">
      <c r="A20" s="40" t="s">
        <v>1158</v>
      </c>
      <c r="B20" s="40" t="s">
        <v>1159</v>
      </c>
      <c r="C20" s="41">
        <v>45482</v>
      </c>
      <c r="D20" s="41">
        <v>45499</v>
      </c>
      <c r="E20" s="52">
        <f t="shared" si="0"/>
        <v>18</v>
      </c>
      <c r="F20" s="40">
        <v>66</v>
      </c>
      <c r="G20" s="40" t="s">
        <v>12</v>
      </c>
      <c r="H20" s="40" t="s">
        <v>1160</v>
      </c>
      <c r="I20" s="40" t="s">
        <v>1161</v>
      </c>
      <c r="J20" s="40"/>
      <c r="K20" s="67"/>
      <c r="L20" s="40"/>
      <c r="M20" s="42"/>
    </row>
    <row r="21" spans="1:13" s="93" customFormat="1" x14ac:dyDescent="0.25">
      <c r="A21" s="88" t="s">
        <v>1217</v>
      </c>
      <c r="B21" s="88" t="s">
        <v>1218</v>
      </c>
      <c r="C21" s="89">
        <v>45483</v>
      </c>
      <c r="D21" s="89">
        <v>45518</v>
      </c>
      <c r="E21" s="90">
        <f t="shared" si="0"/>
        <v>36</v>
      </c>
      <c r="F21" s="88">
        <v>60</v>
      </c>
      <c r="G21" s="88" t="s">
        <v>14</v>
      </c>
      <c r="H21" s="88" t="s">
        <v>1323</v>
      </c>
      <c r="I21" s="91" t="s">
        <v>145</v>
      </c>
      <c r="J21" s="88"/>
      <c r="K21" s="88"/>
      <c r="L21" s="88"/>
    </row>
    <row r="22" spans="1:13" x14ac:dyDescent="0.25">
      <c r="A22" s="40" t="s">
        <v>1098</v>
      </c>
      <c r="B22" s="40" t="s">
        <v>1099</v>
      </c>
      <c r="C22" s="41">
        <v>45483</v>
      </c>
      <c r="D22" s="48">
        <v>45485</v>
      </c>
      <c r="E22" s="52">
        <f t="shared" si="0"/>
        <v>3</v>
      </c>
      <c r="F22" s="40">
        <v>49</v>
      </c>
      <c r="G22" s="40" t="s">
        <v>12</v>
      </c>
      <c r="H22" s="40" t="s">
        <v>1100</v>
      </c>
      <c r="I22" s="40" t="s">
        <v>1101</v>
      </c>
      <c r="J22" s="67" t="s">
        <v>13</v>
      </c>
      <c r="K22" s="40"/>
      <c r="L22" s="40"/>
      <c r="M22" s="42"/>
    </row>
    <row r="23" spans="1:13" x14ac:dyDescent="0.25">
      <c r="A23" s="40" t="s">
        <v>1219</v>
      </c>
      <c r="B23" s="40" t="s">
        <v>537</v>
      </c>
      <c r="C23" s="41">
        <v>45484</v>
      </c>
      <c r="D23" s="41">
        <v>45524</v>
      </c>
      <c r="E23" s="52">
        <f t="shared" si="0"/>
        <v>41</v>
      </c>
      <c r="F23" s="40">
        <v>32</v>
      </c>
      <c r="G23" s="40" t="s">
        <v>12</v>
      </c>
      <c r="H23" s="40" t="s">
        <v>1324</v>
      </c>
      <c r="I23" s="41" t="s">
        <v>1325</v>
      </c>
      <c r="J23" s="40"/>
      <c r="K23" s="40"/>
      <c r="L23" s="40"/>
      <c r="M23" s="42"/>
    </row>
    <row r="24" spans="1:13" s="19" customFormat="1" x14ac:dyDescent="0.25">
      <c r="A24" s="40" t="s">
        <v>1113</v>
      </c>
      <c r="B24" s="40" t="s">
        <v>1114</v>
      </c>
      <c r="C24" s="41">
        <v>45484</v>
      </c>
      <c r="D24" s="41">
        <v>45489</v>
      </c>
      <c r="E24" s="52">
        <f t="shared" si="0"/>
        <v>6</v>
      </c>
      <c r="F24" s="40">
        <v>19</v>
      </c>
      <c r="G24" s="40" t="s">
        <v>14</v>
      </c>
      <c r="H24" s="40" t="s">
        <v>1115</v>
      </c>
      <c r="I24" s="75" t="s">
        <v>773</v>
      </c>
      <c r="J24" s="40"/>
      <c r="K24" s="40"/>
      <c r="L24" s="40"/>
      <c r="M24" s="42"/>
    </row>
    <row r="25" spans="1:13" x14ac:dyDescent="0.25">
      <c r="A25" s="40" t="s">
        <v>1138</v>
      </c>
      <c r="B25" s="40" t="s">
        <v>82</v>
      </c>
      <c r="C25" s="41">
        <v>45484</v>
      </c>
      <c r="D25" s="48">
        <v>45487</v>
      </c>
      <c r="E25" s="52">
        <f t="shared" si="0"/>
        <v>4</v>
      </c>
      <c r="F25" s="40">
        <v>42</v>
      </c>
      <c r="G25" s="40" t="s">
        <v>14</v>
      </c>
      <c r="H25" s="40" t="s">
        <v>1139</v>
      </c>
      <c r="I25" s="40" t="s">
        <v>1140</v>
      </c>
      <c r="J25" s="67" t="s">
        <v>13</v>
      </c>
      <c r="K25" s="40"/>
      <c r="L25" s="40"/>
      <c r="M25" s="42"/>
    </row>
    <row r="26" spans="1:13" x14ac:dyDescent="0.25">
      <c r="A26" s="40" t="s">
        <v>1166</v>
      </c>
      <c r="B26" s="40" t="s">
        <v>1167</v>
      </c>
      <c r="C26" s="41">
        <v>45485</v>
      </c>
      <c r="D26" s="74">
        <v>45502</v>
      </c>
      <c r="E26" s="52">
        <f t="shared" si="0"/>
        <v>18</v>
      </c>
      <c r="F26" s="40">
        <v>27</v>
      </c>
      <c r="G26" s="40" t="s">
        <v>14</v>
      </c>
      <c r="H26" s="40" t="s">
        <v>1168</v>
      </c>
      <c r="I26" s="40" t="s">
        <v>1169</v>
      </c>
      <c r="J26" s="67"/>
      <c r="K26" s="40"/>
      <c r="L26" s="40"/>
      <c r="M26" s="42"/>
    </row>
    <row r="27" spans="1:13" s="65" customFormat="1" x14ac:dyDescent="0.25">
      <c r="A27" s="60" t="s">
        <v>1077</v>
      </c>
      <c r="B27" s="60" t="s">
        <v>1078</v>
      </c>
      <c r="C27" s="61">
        <v>45485</v>
      </c>
      <c r="D27" s="61">
        <v>45492</v>
      </c>
      <c r="E27" s="63">
        <f t="shared" si="0"/>
        <v>8</v>
      </c>
      <c r="F27" s="60">
        <v>33</v>
      </c>
      <c r="G27" s="60" t="s">
        <v>12</v>
      </c>
      <c r="H27" s="60" t="s">
        <v>1079</v>
      </c>
      <c r="I27" s="60" t="s">
        <v>1080</v>
      </c>
      <c r="J27" s="60"/>
      <c r="K27" s="60"/>
      <c r="L27" s="60"/>
    </row>
    <row r="28" spans="1:13" x14ac:dyDescent="0.25">
      <c r="A28" s="40" t="s">
        <v>1192</v>
      </c>
      <c r="B28" s="40" t="s">
        <v>1193</v>
      </c>
      <c r="C28" s="41">
        <v>45485</v>
      </c>
      <c r="D28" s="74">
        <v>45503</v>
      </c>
      <c r="E28" s="52">
        <f t="shared" si="0"/>
        <v>19</v>
      </c>
      <c r="F28" s="40">
        <v>59</v>
      </c>
      <c r="G28" s="40" t="s">
        <v>12</v>
      </c>
      <c r="H28" s="40" t="s">
        <v>1194</v>
      </c>
      <c r="I28" s="40" t="s">
        <v>1197</v>
      </c>
      <c r="J28" s="67"/>
      <c r="K28" s="40"/>
      <c r="L28" s="40"/>
      <c r="M28" s="42"/>
    </row>
    <row r="29" spans="1:13" x14ac:dyDescent="0.25">
      <c r="A29" s="40" t="s">
        <v>1220</v>
      </c>
      <c r="B29" s="40" t="s">
        <v>1221</v>
      </c>
      <c r="C29" s="41">
        <v>45488</v>
      </c>
      <c r="D29" s="48">
        <v>45509</v>
      </c>
      <c r="E29" s="52">
        <f t="shared" si="0"/>
        <v>22</v>
      </c>
      <c r="F29" s="40">
        <v>40</v>
      </c>
      <c r="G29" s="40" t="s">
        <v>14</v>
      </c>
      <c r="H29" s="40" t="s">
        <v>1222</v>
      </c>
      <c r="I29" s="40" t="s">
        <v>1300</v>
      </c>
      <c r="J29" s="67" t="s">
        <v>13</v>
      </c>
      <c r="K29" s="40"/>
      <c r="L29" s="40"/>
      <c r="M29" s="42"/>
    </row>
    <row r="30" spans="1:13" x14ac:dyDescent="0.25">
      <c r="A30" s="40" t="s">
        <v>1094</v>
      </c>
      <c r="B30" s="40" t="s">
        <v>1095</v>
      </c>
      <c r="C30" s="41">
        <v>45488</v>
      </c>
      <c r="D30" s="48">
        <v>45494</v>
      </c>
      <c r="E30" s="52">
        <f t="shared" si="0"/>
        <v>7</v>
      </c>
      <c r="F30" s="40">
        <v>56</v>
      </c>
      <c r="G30" s="40" t="s">
        <v>12</v>
      </c>
      <c r="H30" s="40" t="s">
        <v>1096</v>
      </c>
      <c r="I30" s="40" t="s">
        <v>1097</v>
      </c>
      <c r="J30" s="67" t="s">
        <v>13</v>
      </c>
      <c r="K30" s="40"/>
      <c r="L30" s="40"/>
      <c r="M30" s="42"/>
    </row>
    <row r="31" spans="1:13" x14ac:dyDescent="0.25">
      <c r="A31" s="40" t="s">
        <v>1073</v>
      </c>
      <c r="B31" s="40" t="s">
        <v>1074</v>
      </c>
      <c r="C31" s="41">
        <v>45488</v>
      </c>
      <c r="D31" s="48">
        <v>45490</v>
      </c>
      <c r="E31" s="52">
        <f t="shared" si="0"/>
        <v>3</v>
      </c>
      <c r="F31" s="40">
        <v>56</v>
      </c>
      <c r="G31" s="40" t="s">
        <v>12</v>
      </c>
      <c r="H31" s="40" t="s">
        <v>1075</v>
      </c>
      <c r="I31" s="40" t="s">
        <v>1076</v>
      </c>
      <c r="J31" s="67" t="s">
        <v>13</v>
      </c>
      <c r="K31" s="40"/>
      <c r="L31" s="40"/>
      <c r="M31" s="42"/>
    </row>
    <row r="32" spans="1:13" x14ac:dyDescent="0.25">
      <c r="A32" s="40" t="s">
        <v>1090</v>
      </c>
      <c r="B32" s="40" t="s">
        <v>1091</v>
      </c>
      <c r="C32" s="41">
        <v>45489</v>
      </c>
      <c r="D32" s="41">
        <v>45495</v>
      </c>
      <c r="E32" s="52">
        <f t="shared" si="0"/>
        <v>7</v>
      </c>
      <c r="F32" s="40">
        <v>27</v>
      </c>
      <c r="G32" s="40" t="s">
        <v>14</v>
      </c>
      <c r="H32" s="40" t="s">
        <v>1092</v>
      </c>
      <c r="I32" s="40" t="s">
        <v>1093</v>
      </c>
      <c r="J32" s="71"/>
      <c r="K32" s="40"/>
      <c r="L32" s="40"/>
      <c r="M32" s="42"/>
    </row>
    <row r="33" spans="1:13" x14ac:dyDescent="0.25">
      <c r="A33" s="40" t="s">
        <v>1084</v>
      </c>
      <c r="B33" s="40" t="s">
        <v>1085</v>
      </c>
      <c r="C33" s="41">
        <v>45490</v>
      </c>
      <c r="D33" s="74">
        <v>45492</v>
      </c>
      <c r="E33" s="52">
        <f t="shared" si="0"/>
        <v>3</v>
      </c>
      <c r="F33" s="40">
        <v>78</v>
      </c>
      <c r="G33" s="40" t="s">
        <v>12</v>
      </c>
      <c r="H33" s="40" t="s">
        <v>1086</v>
      </c>
      <c r="I33" s="40" t="s">
        <v>298</v>
      </c>
      <c r="J33" s="67"/>
      <c r="K33" s="40"/>
      <c r="L33" s="40"/>
      <c r="M33" s="42"/>
    </row>
    <row r="34" spans="1:13" x14ac:dyDescent="0.25">
      <c r="A34" s="40" t="s">
        <v>1223</v>
      </c>
      <c r="B34" s="40" t="s">
        <v>1224</v>
      </c>
      <c r="C34" s="41">
        <v>45491</v>
      </c>
      <c r="D34" s="41">
        <v>45510</v>
      </c>
      <c r="E34" s="52">
        <f t="shared" si="0"/>
        <v>20</v>
      </c>
      <c r="F34" s="40">
        <v>35</v>
      </c>
      <c r="G34" s="40" t="s">
        <v>12</v>
      </c>
      <c r="H34" s="40" t="s">
        <v>1225</v>
      </c>
      <c r="I34" s="40" t="s">
        <v>1308</v>
      </c>
      <c r="J34" s="71"/>
      <c r="K34" s="40"/>
      <c r="L34" s="40"/>
      <c r="M34" s="42"/>
    </row>
    <row r="35" spans="1:13" x14ac:dyDescent="0.25">
      <c r="A35" s="40" t="s">
        <v>1081</v>
      </c>
      <c r="B35" s="40" t="s">
        <v>1082</v>
      </c>
      <c r="C35" s="41">
        <v>45492</v>
      </c>
      <c r="D35" s="48">
        <v>45495</v>
      </c>
      <c r="E35" s="52">
        <f t="shared" si="0"/>
        <v>4</v>
      </c>
      <c r="F35" s="40">
        <v>34</v>
      </c>
      <c r="G35" s="40" t="s">
        <v>14</v>
      </c>
      <c r="H35" s="40" t="s">
        <v>1083</v>
      </c>
      <c r="I35" s="40" t="s">
        <v>20</v>
      </c>
      <c r="J35" s="67" t="s">
        <v>13</v>
      </c>
      <c r="K35" s="40"/>
      <c r="L35" s="40"/>
      <c r="M35" s="42"/>
    </row>
    <row r="36" spans="1:13" x14ac:dyDescent="0.25">
      <c r="A36" s="40" t="s">
        <v>1226</v>
      </c>
      <c r="B36" s="40" t="s">
        <v>1227</v>
      </c>
      <c r="C36" s="41">
        <v>45492</v>
      </c>
      <c r="D36" s="41">
        <v>45506</v>
      </c>
      <c r="E36" s="52">
        <f t="shared" si="0"/>
        <v>15</v>
      </c>
      <c r="F36" s="40">
        <v>60</v>
      </c>
      <c r="G36" s="40" t="s">
        <v>12</v>
      </c>
      <c r="H36" s="40" t="s">
        <v>1228</v>
      </c>
      <c r="I36" s="40" t="s">
        <v>1268</v>
      </c>
      <c r="J36" s="40"/>
      <c r="K36" s="40"/>
      <c r="L36" s="40"/>
      <c r="M36" s="42"/>
    </row>
    <row r="37" spans="1:13" x14ac:dyDescent="0.25">
      <c r="A37" s="40" t="s">
        <v>1148</v>
      </c>
      <c r="B37" s="40" t="s">
        <v>84</v>
      </c>
      <c r="C37" s="41">
        <v>45493</v>
      </c>
      <c r="D37" s="41">
        <v>45499</v>
      </c>
      <c r="E37" s="52">
        <f t="shared" si="0"/>
        <v>7</v>
      </c>
      <c r="F37" s="40">
        <v>36</v>
      </c>
      <c r="G37" s="40" t="s">
        <v>12</v>
      </c>
      <c r="H37" s="40" t="s">
        <v>1149</v>
      </c>
      <c r="I37" s="40" t="s">
        <v>1150</v>
      </c>
      <c r="J37" s="40"/>
      <c r="K37" s="40"/>
      <c r="L37" s="40"/>
      <c r="M37" s="42"/>
    </row>
    <row r="38" spans="1:13" s="56" customFormat="1" x14ac:dyDescent="0.25">
      <c r="A38" s="53" t="s">
        <v>1179</v>
      </c>
      <c r="B38" s="53" t="s">
        <v>1180</v>
      </c>
      <c r="C38" s="54">
        <v>45495</v>
      </c>
      <c r="D38" s="54">
        <v>45504</v>
      </c>
      <c r="E38" s="55">
        <f t="shared" si="0"/>
        <v>10</v>
      </c>
      <c r="F38" s="53">
        <v>14</v>
      </c>
      <c r="G38" s="53" t="s">
        <v>12</v>
      </c>
      <c r="H38" s="53" t="s">
        <v>1181</v>
      </c>
      <c r="I38" s="58" t="s">
        <v>145</v>
      </c>
      <c r="J38" s="53"/>
      <c r="K38" s="53"/>
      <c r="L38" s="53"/>
    </row>
    <row r="39" spans="1:13" x14ac:dyDescent="0.25">
      <c r="A39" s="40" t="s">
        <v>1185</v>
      </c>
      <c r="B39" s="40" t="s">
        <v>1186</v>
      </c>
      <c r="C39" s="41">
        <v>45495</v>
      </c>
      <c r="D39" s="41">
        <v>45503</v>
      </c>
      <c r="E39" s="52">
        <f t="shared" si="0"/>
        <v>9</v>
      </c>
      <c r="F39" s="40">
        <v>71</v>
      </c>
      <c r="G39" s="40" t="s">
        <v>14</v>
      </c>
      <c r="H39" s="40" t="s">
        <v>1188</v>
      </c>
      <c r="I39" s="40" t="s">
        <v>1187</v>
      </c>
      <c r="J39" s="71"/>
      <c r="K39" s="40"/>
      <c r="L39" s="40"/>
      <c r="M39" s="42"/>
    </row>
    <row r="40" spans="1:13" x14ac:dyDescent="0.25">
      <c r="A40" s="40" t="s">
        <v>1229</v>
      </c>
      <c r="B40" s="40" t="s">
        <v>1230</v>
      </c>
      <c r="C40" s="41">
        <v>45495</v>
      </c>
      <c r="D40" s="41">
        <v>45511</v>
      </c>
      <c r="E40" s="52">
        <f t="shared" si="0"/>
        <v>17</v>
      </c>
      <c r="F40" s="40">
        <v>48</v>
      </c>
      <c r="G40" s="40" t="s">
        <v>14</v>
      </c>
      <c r="H40" s="40" t="s">
        <v>1262</v>
      </c>
      <c r="I40" s="40" t="s">
        <v>1263</v>
      </c>
      <c r="J40" s="66"/>
      <c r="K40" s="40"/>
      <c r="L40" s="40"/>
      <c r="M40" s="42"/>
    </row>
    <row r="41" spans="1:13" x14ac:dyDescent="0.25">
      <c r="A41" s="40" t="s">
        <v>1145</v>
      </c>
      <c r="B41" s="40" t="s">
        <v>1146</v>
      </c>
      <c r="C41" s="41">
        <v>45495</v>
      </c>
      <c r="D41" s="41">
        <v>45496</v>
      </c>
      <c r="E41" s="52">
        <f t="shared" si="0"/>
        <v>2</v>
      </c>
      <c r="F41" s="40">
        <v>27</v>
      </c>
      <c r="G41" s="40" t="s">
        <v>12</v>
      </c>
      <c r="H41" s="75" t="s">
        <v>990</v>
      </c>
      <c r="I41" s="40" t="s">
        <v>1147</v>
      </c>
      <c r="J41" s="40"/>
      <c r="K41" s="66"/>
      <c r="L41" s="40"/>
      <c r="M41" s="42"/>
    </row>
    <row r="42" spans="1:13" x14ac:dyDescent="0.25">
      <c r="A42" s="40" t="s">
        <v>1178</v>
      </c>
      <c r="B42" s="40" t="s">
        <v>1195</v>
      </c>
      <c r="C42" s="41">
        <v>45495</v>
      </c>
      <c r="D42" s="41">
        <v>45504</v>
      </c>
      <c r="E42" s="52">
        <f t="shared" si="0"/>
        <v>10</v>
      </c>
      <c r="F42" s="40">
        <v>25</v>
      </c>
      <c r="G42" s="40" t="s">
        <v>14</v>
      </c>
      <c r="H42" s="40" t="s">
        <v>1196</v>
      </c>
      <c r="I42" s="40" t="s">
        <v>20</v>
      </c>
      <c r="J42" s="40"/>
      <c r="K42" s="40"/>
      <c r="L42" s="40"/>
      <c r="M42" s="42"/>
    </row>
    <row r="43" spans="1:13" x14ac:dyDescent="0.25">
      <c r="A43" s="40" t="s">
        <v>1156</v>
      </c>
      <c r="B43" s="40" t="s">
        <v>50</v>
      </c>
      <c r="C43" s="41">
        <v>45495</v>
      </c>
      <c r="D43" s="41">
        <v>45499</v>
      </c>
      <c r="E43" s="52">
        <f t="shared" si="0"/>
        <v>5</v>
      </c>
      <c r="F43" s="40">
        <v>63</v>
      </c>
      <c r="G43" s="40" t="s">
        <v>12</v>
      </c>
      <c r="H43" s="40" t="s">
        <v>1157</v>
      </c>
      <c r="I43" s="40" t="s">
        <v>1093</v>
      </c>
      <c r="J43" s="40"/>
      <c r="K43" s="40"/>
      <c r="L43" s="40"/>
      <c r="M43" s="42"/>
    </row>
    <row r="44" spans="1:13" s="19" customFormat="1" x14ac:dyDescent="0.25">
      <c r="A44" s="40" t="s">
        <v>1202</v>
      </c>
      <c r="B44" s="40" t="s">
        <v>1203</v>
      </c>
      <c r="C44" s="41">
        <v>45496</v>
      </c>
      <c r="D44" s="41">
        <v>45505</v>
      </c>
      <c r="E44" s="52">
        <f t="shared" si="0"/>
        <v>10</v>
      </c>
      <c r="F44" s="40">
        <v>56</v>
      </c>
      <c r="G44" s="40" t="s">
        <v>12</v>
      </c>
      <c r="H44" s="40" t="s">
        <v>1204</v>
      </c>
      <c r="I44" s="75" t="s">
        <v>1205</v>
      </c>
      <c r="J44" s="71"/>
      <c r="K44" s="71"/>
      <c r="L44" s="40"/>
      <c r="M44" s="42"/>
    </row>
    <row r="45" spans="1:13" s="19" customFormat="1" x14ac:dyDescent="0.25">
      <c r="A45" s="40" t="s">
        <v>1198</v>
      </c>
      <c r="B45" s="40" t="s">
        <v>1199</v>
      </c>
      <c r="C45" s="41">
        <v>45497</v>
      </c>
      <c r="D45" s="41">
        <v>45505</v>
      </c>
      <c r="E45" s="52">
        <f t="shared" si="0"/>
        <v>9</v>
      </c>
      <c r="F45" s="40">
        <v>29</v>
      </c>
      <c r="G45" s="40" t="s">
        <v>14</v>
      </c>
      <c r="H45" s="40" t="s">
        <v>1200</v>
      </c>
      <c r="I45" s="75" t="s">
        <v>1201</v>
      </c>
      <c r="J45" s="40"/>
      <c r="K45" s="40"/>
      <c r="L45" s="40"/>
      <c r="M45" s="42"/>
    </row>
    <row r="46" spans="1:13" x14ac:dyDescent="0.25">
      <c r="A46" s="40" t="s">
        <v>1231</v>
      </c>
      <c r="B46" s="40" t="s">
        <v>1232</v>
      </c>
      <c r="C46" s="41">
        <v>45497</v>
      </c>
      <c r="D46" s="41">
        <v>45512</v>
      </c>
      <c r="E46" s="52">
        <f t="shared" si="0"/>
        <v>16</v>
      </c>
      <c r="F46" s="40">
        <v>27</v>
      </c>
      <c r="G46" s="40" t="s">
        <v>12</v>
      </c>
      <c r="H46" s="40" t="s">
        <v>1233</v>
      </c>
      <c r="I46" s="75" t="s">
        <v>291</v>
      </c>
      <c r="J46" s="71" t="s">
        <v>167</v>
      </c>
      <c r="K46" s="42"/>
      <c r="L46" s="40"/>
      <c r="M46" s="42"/>
    </row>
    <row r="47" spans="1:13" x14ac:dyDescent="0.25">
      <c r="A47" s="40" t="s">
        <v>1234</v>
      </c>
      <c r="B47" s="40" t="s">
        <v>1235</v>
      </c>
      <c r="C47" s="41">
        <v>45498</v>
      </c>
      <c r="D47" s="41"/>
      <c r="E47" s="52">
        <f t="shared" si="0"/>
        <v>-45497</v>
      </c>
      <c r="F47" s="40">
        <v>51</v>
      </c>
      <c r="G47" s="40" t="s">
        <v>12</v>
      </c>
      <c r="H47" s="40" t="s">
        <v>1236</v>
      </c>
      <c r="I47" s="40" t="s">
        <v>20</v>
      </c>
      <c r="J47" s="40"/>
      <c r="K47" s="40"/>
      <c r="L47" s="40"/>
      <c r="M47" s="42"/>
    </row>
    <row r="48" spans="1:13" x14ac:dyDescent="0.25">
      <c r="A48" s="40" t="s">
        <v>1237</v>
      </c>
      <c r="B48" s="40" t="s">
        <v>1238</v>
      </c>
      <c r="C48" s="41">
        <v>45498</v>
      </c>
      <c r="D48" s="74">
        <v>45511</v>
      </c>
      <c r="E48" s="52">
        <f t="shared" si="0"/>
        <v>14</v>
      </c>
      <c r="F48" s="40">
        <v>30</v>
      </c>
      <c r="G48" s="40" t="s">
        <v>12</v>
      </c>
      <c r="H48" s="40" t="s">
        <v>1264</v>
      </c>
      <c r="I48" s="40" t="s">
        <v>1265</v>
      </c>
      <c r="J48" s="67"/>
      <c r="K48" s="40"/>
      <c r="L48" s="40"/>
      <c r="M48" s="42"/>
    </row>
    <row r="49" spans="1:13" x14ac:dyDescent="0.25">
      <c r="A49" s="40" t="s">
        <v>1239</v>
      </c>
      <c r="B49" s="40" t="s">
        <v>1240</v>
      </c>
      <c r="C49" s="41">
        <v>45498</v>
      </c>
      <c r="D49" s="41">
        <v>45510</v>
      </c>
      <c r="E49" s="52">
        <f t="shared" si="0"/>
        <v>13</v>
      </c>
      <c r="F49" s="40">
        <v>33</v>
      </c>
      <c r="G49" s="40" t="s">
        <v>12</v>
      </c>
      <c r="H49" s="40" t="s">
        <v>1241</v>
      </c>
      <c r="I49" s="40" t="s">
        <v>1267</v>
      </c>
      <c r="J49" s="40"/>
      <c r="K49" s="40"/>
      <c r="L49" s="67"/>
      <c r="M49" s="42"/>
    </row>
    <row r="50" spans="1:13" x14ac:dyDescent="0.25">
      <c r="A50" s="40" t="s">
        <v>1242</v>
      </c>
      <c r="B50" s="40" t="s">
        <v>1243</v>
      </c>
      <c r="C50" s="41">
        <v>45500</v>
      </c>
      <c r="D50" s="74">
        <v>45512</v>
      </c>
      <c r="E50" s="52">
        <f t="shared" si="0"/>
        <v>13</v>
      </c>
      <c r="F50" s="40">
        <v>23</v>
      </c>
      <c r="G50" s="40" t="s">
        <v>12</v>
      </c>
      <c r="H50" s="40" t="s">
        <v>1244</v>
      </c>
      <c r="I50" s="40" t="s">
        <v>1357</v>
      </c>
      <c r="J50" s="67"/>
      <c r="K50" s="40"/>
      <c r="L50" s="40"/>
      <c r="M50" s="42"/>
    </row>
    <row r="51" spans="1:13" x14ac:dyDescent="0.25">
      <c r="A51" s="40" t="s">
        <v>1245</v>
      </c>
      <c r="B51" s="40" t="s">
        <v>1246</v>
      </c>
      <c r="C51" s="41">
        <v>45502</v>
      </c>
      <c r="D51" s="74">
        <v>45517</v>
      </c>
      <c r="E51" s="52">
        <f t="shared" si="0"/>
        <v>16</v>
      </c>
      <c r="F51" s="40">
        <v>66</v>
      </c>
      <c r="G51" s="40" t="s">
        <v>12</v>
      </c>
      <c r="H51" s="40" t="s">
        <v>1343</v>
      </c>
      <c r="I51" s="40" t="s">
        <v>1344</v>
      </c>
      <c r="J51" s="67"/>
      <c r="K51" s="40"/>
      <c r="L51" s="40"/>
      <c r="M51" s="42"/>
    </row>
    <row r="52" spans="1:13" x14ac:dyDescent="0.25">
      <c r="A52" s="40" t="s">
        <v>1247</v>
      </c>
      <c r="B52" s="40" t="s">
        <v>1248</v>
      </c>
      <c r="C52" s="41">
        <v>45502</v>
      </c>
      <c r="D52" s="41">
        <v>45509</v>
      </c>
      <c r="E52" s="52">
        <f t="shared" si="0"/>
        <v>8</v>
      </c>
      <c r="F52" s="40">
        <v>39</v>
      </c>
      <c r="G52" s="40" t="s">
        <v>14</v>
      </c>
      <c r="H52" s="40" t="s">
        <v>1249</v>
      </c>
      <c r="I52" s="40" t="s">
        <v>16</v>
      </c>
      <c r="J52" s="71" t="s">
        <v>45</v>
      </c>
      <c r="K52" s="40"/>
      <c r="L52" s="40"/>
      <c r="M52" s="42"/>
    </row>
    <row r="53" spans="1:13" x14ac:dyDescent="0.25">
      <c r="A53" s="40" t="s">
        <v>1250</v>
      </c>
      <c r="B53" s="40" t="s">
        <v>1251</v>
      </c>
      <c r="C53" s="41">
        <v>45502</v>
      </c>
      <c r="D53" s="74">
        <v>45517</v>
      </c>
      <c r="E53" s="52">
        <f t="shared" si="0"/>
        <v>16</v>
      </c>
      <c r="F53" s="40">
        <v>38</v>
      </c>
      <c r="G53" s="40" t="s">
        <v>12</v>
      </c>
      <c r="H53" s="40" t="s">
        <v>1252</v>
      </c>
      <c r="I53" s="40" t="s">
        <v>46</v>
      </c>
      <c r="J53" s="67"/>
      <c r="K53" s="40"/>
      <c r="L53" s="40"/>
      <c r="M53" s="42"/>
    </row>
    <row r="54" spans="1:13" s="105" customFormat="1" x14ac:dyDescent="0.25">
      <c r="A54" s="101" t="s">
        <v>1253</v>
      </c>
      <c r="B54" s="101" t="s">
        <v>1254</v>
      </c>
      <c r="C54" s="102">
        <v>45502</v>
      </c>
      <c r="D54" s="102">
        <v>45510</v>
      </c>
      <c r="E54" s="103">
        <f t="shared" si="0"/>
        <v>9</v>
      </c>
      <c r="F54" s="101">
        <v>23</v>
      </c>
      <c r="G54" s="101" t="s">
        <v>12</v>
      </c>
      <c r="H54" s="101" t="s">
        <v>1255</v>
      </c>
      <c r="I54" s="101" t="s">
        <v>1266</v>
      </c>
      <c r="J54" s="101"/>
      <c r="K54" s="101"/>
      <c r="L54" s="101"/>
    </row>
    <row r="55" spans="1:13" x14ac:dyDescent="0.25">
      <c r="A55" s="40" t="s">
        <v>1256</v>
      </c>
      <c r="B55" s="40" t="s">
        <v>1257</v>
      </c>
      <c r="C55" s="41">
        <v>45504</v>
      </c>
      <c r="D55" s="74">
        <v>45509</v>
      </c>
      <c r="E55" s="52">
        <f t="shared" si="0"/>
        <v>6</v>
      </c>
      <c r="F55" s="40">
        <v>46</v>
      </c>
      <c r="G55" s="40" t="s">
        <v>12</v>
      </c>
      <c r="H55" s="40" t="s">
        <v>1258</v>
      </c>
      <c r="I55" s="40" t="s">
        <v>1261</v>
      </c>
      <c r="J55" s="67"/>
      <c r="K55" s="40"/>
      <c r="L55" s="40"/>
      <c r="M55" s="42"/>
    </row>
    <row r="56" spans="1:13" x14ac:dyDescent="0.25">
      <c r="A56" s="40" t="s">
        <v>1269</v>
      </c>
      <c r="B56" s="40" t="s">
        <v>1154</v>
      </c>
      <c r="C56" s="41">
        <v>45500</v>
      </c>
      <c r="D56" s="41">
        <v>45510</v>
      </c>
      <c r="E56" s="52">
        <f t="shared" si="0"/>
        <v>11</v>
      </c>
      <c r="F56" s="40">
        <v>67</v>
      </c>
      <c r="G56" s="40" t="s">
        <v>12</v>
      </c>
      <c r="H56" s="40" t="s">
        <v>1270</v>
      </c>
      <c r="I56" s="40" t="s">
        <v>1271</v>
      </c>
      <c r="J56" s="40"/>
      <c r="K56" s="71" t="s">
        <v>1272</v>
      </c>
      <c r="L56" s="40"/>
      <c r="M56" s="42"/>
    </row>
    <row r="57" spans="1:13" s="19" customFormat="1" x14ac:dyDescent="0.25">
      <c r="A57" s="40"/>
      <c r="B57" s="40"/>
      <c r="C57" s="41"/>
      <c r="D57" s="41"/>
      <c r="E57" s="52">
        <f t="shared" si="0"/>
        <v>1</v>
      </c>
      <c r="F57" s="40"/>
      <c r="G57" s="40"/>
      <c r="H57" s="40"/>
      <c r="I57" s="71"/>
      <c r="J57" s="40"/>
      <c r="K57" s="40"/>
      <c r="L57" s="40"/>
      <c r="M57" s="42"/>
    </row>
    <row r="58" spans="1:13" x14ac:dyDescent="0.25">
      <c r="A58" s="40"/>
      <c r="B58" s="40"/>
      <c r="C58" s="41"/>
      <c r="D58" s="48"/>
      <c r="E58" s="52">
        <f t="shared" si="0"/>
        <v>1</v>
      </c>
      <c r="F58" s="40"/>
      <c r="G58" s="40"/>
      <c r="H58" s="40"/>
      <c r="I58" s="40"/>
      <c r="J58" s="67"/>
      <c r="K58" s="40"/>
      <c r="L58" s="40"/>
      <c r="M58" s="42"/>
    </row>
    <row r="59" spans="1:13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71"/>
      <c r="K59" s="40"/>
      <c r="L59" s="40"/>
      <c r="M59" s="42"/>
    </row>
    <row r="60" spans="1:13" x14ac:dyDescent="0.25">
      <c r="A60" s="40"/>
      <c r="B60" s="84"/>
      <c r="C60" s="41"/>
      <c r="D60" s="41"/>
      <c r="E60" s="52">
        <f t="shared" si="0"/>
        <v>1</v>
      </c>
      <c r="F60" s="40"/>
      <c r="G60" s="40"/>
      <c r="H60" s="40"/>
      <c r="I60" s="40"/>
      <c r="J60" s="71"/>
      <c r="K60" s="40"/>
      <c r="L60" s="40"/>
      <c r="M60" s="42"/>
    </row>
    <row r="61" spans="1:13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40"/>
      <c r="L61" s="40"/>
      <c r="M61" s="42"/>
    </row>
    <row r="62" spans="1:13" x14ac:dyDescent="0.25">
      <c r="A62" s="40"/>
      <c r="B62" s="40"/>
      <c r="C62" s="41"/>
      <c r="D62" s="48"/>
      <c r="E62" s="52">
        <f t="shared" si="0"/>
        <v>1</v>
      </c>
      <c r="F62" s="40"/>
      <c r="G62" s="75"/>
      <c r="H62" s="40"/>
      <c r="I62" s="40"/>
      <c r="J62" s="67"/>
      <c r="K62" s="42"/>
      <c r="L62" s="40"/>
      <c r="M62" s="42"/>
    </row>
    <row r="63" spans="1:13" x14ac:dyDescent="0.25">
      <c r="A63" s="40"/>
      <c r="B63" s="40"/>
      <c r="C63" s="41"/>
      <c r="D63" s="41"/>
      <c r="E63" s="52">
        <f t="shared" si="0"/>
        <v>1</v>
      </c>
      <c r="F63" s="40"/>
      <c r="G63" s="97"/>
      <c r="H63" s="40"/>
      <c r="I63" s="40"/>
      <c r="J63" s="71"/>
      <c r="K63" s="40"/>
      <c r="L63" s="40"/>
      <c r="M63" s="42"/>
    </row>
    <row r="64" spans="1:13" x14ac:dyDescent="0.25">
      <c r="A64" s="40"/>
      <c r="B64" s="40"/>
      <c r="C64" s="41"/>
      <c r="D64" s="48"/>
      <c r="E64" s="52">
        <f t="shared" si="0"/>
        <v>1</v>
      </c>
      <c r="F64" s="40"/>
      <c r="G64" s="40"/>
      <c r="H64" s="40"/>
      <c r="I64" s="40"/>
      <c r="J64" s="67"/>
      <c r="K64" s="40"/>
      <c r="L64" s="40"/>
      <c r="M64" s="42"/>
    </row>
    <row r="65" spans="1:13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71"/>
      <c r="K65" s="40"/>
      <c r="L65" s="40"/>
      <c r="M65" s="42"/>
    </row>
    <row r="66" spans="1:13" x14ac:dyDescent="0.25">
      <c r="A66" s="40"/>
      <c r="B66" s="40"/>
      <c r="C66" s="41"/>
      <c r="D66" s="41"/>
      <c r="E66" s="52">
        <f t="shared" ref="E66:E121" si="1">D66-C66+1</f>
        <v>1</v>
      </c>
      <c r="F66" s="40"/>
      <c r="G66" s="40"/>
      <c r="H66" s="40"/>
      <c r="I66" s="40"/>
      <c r="J66" s="40"/>
      <c r="K66" s="40"/>
      <c r="L66" s="40"/>
      <c r="M66" s="42"/>
    </row>
    <row r="67" spans="1:13" x14ac:dyDescent="0.25">
      <c r="A67" s="40"/>
      <c r="B67" s="40"/>
      <c r="C67" s="41"/>
      <c r="D67" s="41"/>
      <c r="E67" s="52">
        <f t="shared" si="1"/>
        <v>1</v>
      </c>
      <c r="F67" s="40"/>
      <c r="G67" s="40"/>
      <c r="H67" s="40"/>
      <c r="I67" s="40"/>
      <c r="J67" s="40"/>
      <c r="K67" s="40"/>
      <c r="L67" s="40"/>
      <c r="M67" s="42"/>
    </row>
    <row r="68" spans="1:13" x14ac:dyDescent="0.25">
      <c r="A68" s="40"/>
      <c r="B68" s="40"/>
      <c r="C68" s="41"/>
      <c r="D68" s="41"/>
      <c r="E68" s="52">
        <f t="shared" si="1"/>
        <v>1</v>
      </c>
      <c r="F68" s="40"/>
      <c r="G68" s="40"/>
      <c r="H68" s="40"/>
      <c r="I68" s="40"/>
      <c r="J68" s="40"/>
      <c r="K68" s="40"/>
      <c r="L68" s="40"/>
      <c r="M68" s="42"/>
    </row>
    <row r="69" spans="1:13" x14ac:dyDescent="0.25">
      <c r="A69" s="40"/>
      <c r="B69" s="40"/>
      <c r="C69" s="41"/>
      <c r="D69" s="41"/>
      <c r="E69" s="52">
        <f t="shared" si="1"/>
        <v>1</v>
      </c>
      <c r="F69" s="40"/>
      <c r="G69" s="40"/>
      <c r="H69" s="40"/>
      <c r="I69" s="40"/>
      <c r="J69" s="71"/>
      <c r="K69" s="40"/>
      <c r="L69" s="40"/>
      <c r="M69" s="42"/>
    </row>
    <row r="70" spans="1:13" x14ac:dyDescent="0.25">
      <c r="A70" s="40"/>
      <c r="B70" s="40"/>
      <c r="C70" s="41"/>
      <c r="D70" s="41"/>
      <c r="E70" s="52">
        <f t="shared" si="1"/>
        <v>1</v>
      </c>
      <c r="F70" s="40"/>
      <c r="G70" s="40"/>
      <c r="H70" s="40"/>
      <c r="I70" s="40"/>
      <c r="J70" s="40"/>
      <c r="K70" s="40"/>
      <c r="L70" s="40"/>
      <c r="M70" s="42"/>
    </row>
    <row r="71" spans="1:13" x14ac:dyDescent="0.25">
      <c r="A71" s="40"/>
      <c r="B71" s="40"/>
      <c r="C71" s="41"/>
      <c r="D71" s="41"/>
      <c r="E71" s="52">
        <f t="shared" si="1"/>
        <v>1</v>
      </c>
      <c r="F71" s="40"/>
      <c r="G71" s="40"/>
      <c r="H71" s="40"/>
      <c r="I71" s="40"/>
      <c r="J71" s="40"/>
      <c r="K71" s="40"/>
      <c r="L71" s="40"/>
      <c r="M71" s="42"/>
    </row>
    <row r="72" spans="1:13" x14ac:dyDescent="0.25">
      <c r="A72" s="40"/>
      <c r="B72" s="40"/>
      <c r="C72" s="41"/>
      <c r="D72" s="41"/>
      <c r="E72" s="52">
        <f t="shared" si="1"/>
        <v>1</v>
      </c>
      <c r="F72" s="40"/>
      <c r="G72" s="40"/>
      <c r="H72" s="40"/>
      <c r="I72" s="40"/>
      <c r="J72" s="40"/>
      <c r="K72" s="40"/>
      <c r="L72" s="40"/>
      <c r="M72" s="42"/>
    </row>
    <row r="73" spans="1:13" x14ac:dyDescent="0.25">
      <c r="A73" s="40"/>
      <c r="B73" s="40"/>
      <c r="C73" s="41"/>
      <c r="D73" s="48"/>
      <c r="E73" s="52">
        <f t="shared" si="1"/>
        <v>1</v>
      </c>
      <c r="F73" s="40"/>
      <c r="G73" s="40"/>
      <c r="H73" s="40"/>
      <c r="I73" s="40"/>
      <c r="J73" s="67"/>
      <c r="K73" s="40"/>
      <c r="L73" s="40"/>
      <c r="M73" s="42"/>
    </row>
    <row r="74" spans="1:13" s="19" customFormat="1" x14ac:dyDescent="0.25">
      <c r="A74" s="40"/>
      <c r="B74" s="40"/>
      <c r="C74" s="41"/>
      <c r="D74" s="41"/>
      <c r="E74" s="52">
        <f t="shared" si="1"/>
        <v>1</v>
      </c>
      <c r="F74" s="40"/>
      <c r="G74" s="40"/>
      <c r="H74" s="40"/>
      <c r="I74" s="71"/>
      <c r="J74" s="71"/>
      <c r="K74" s="40"/>
      <c r="L74" s="40"/>
      <c r="M74" s="42"/>
    </row>
    <row r="75" spans="1:13" x14ac:dyDescent="0.25">
      <c r="A75" s="40"/>
      <c r="B75" s="40"/>
      <c r="C75" s="41"/>
      <c r="D75" s="41"/>
      <c r="E75" s="52">
        <f t="shared" si="1"/>
        <v>1</v>
      </c>
      <c r="F75" s="40"/>
      <c r="G75" s="40"/>
      <c r="H75" s="40"/>
      <c r="I75" s="40"/>
      <c r="J75" s="40"/>
      <c r="K75" s="40"/>
      <c r="L75" s="40"/>
      <c r="M75" s="42"/>
    </row>
    <row r="76" spans="1:13" x14ac:dyDescent="0.25">
      <c r="A76" s="40"/>
      <c r="B76" s="40"/>
      <c r="C76" s="41"/>
      <c r="D76" s="41"/>
      <c r="E76" s="52">
        <f t="shared" si="1"/>
        <v>1</v>
      </c>
      <c r="F76" s="40"/>
      <c r="G76" s="40"/>
      <c r="H76" s="40"/>
      <c r="I76" s="40"/>
      <c r="J76" s="71"/>
      <c r="K76" s="40"/>
      <c r="L76" s="40"/>
      <c r="M76" s="42"/>
    </row>
    <row r="77" spans="1:13" x14ac:dyDescent="0.25">
      <c r="A77" s="40"/>
      <c r="B77" s="40"/>
      <c r="C77" s="41"/>
      <c r="D77" s="41"/>
      <c r="E77" s="52">
        <f t="shared" si="1"/>
        <v>1</v>
      </c>
      <c r="F77" s="40"/>
      <c r="G77" s="40"/>
      <c r="H77" s="40"/>
      <c r="I77" s="40"/>
      <c r="J77" s="40"/>
      <c r="K77" s="40"/>
      <c r="L77" s="40"/>
      <c r="M77" s="42"/>
    </row>
    <row r="78" spans="1:13" x14ac:dyDescent="0.25">
      <c r="A78" s="40"/>
      <c r="B78" s="40"/>
      <c r="C78" s="40"/>
      <c r="D78" s="41"/>
      <c r="E78" s="52">
        <f t="shared" si="1"/>
        <v>1</v>
      </c>
      <c r="F78" s="40"/>
      <c r="G78" s="40"/>
      <c r="H78" s="40"/>
      <c r="I78" s="40"/>
      <c r="J78" s="40"/>
      <c r="K78" s="40"/>
      <c r="L78" s="40"/>
      <c r="M78" s="42"/>
    </row>
    <row r="79" spans="1:13" x14ac:dyDescent="0.25">
      <c r="A79" s="40"/>
      <c r="B79" s="40"/>
      <c r="C79" s="40"/>
      <c r="D79" s="41"/>
      <c r="E79" s="52">
        <f t="shared" si="1"/>
        <v>1</v>
      </c>
      <c r="F79" s="40"/>
      <c r="G79" s="40"/>
      <c r="H79" s="40"/>
      <c r="I79" s="40"/>
      <c r="J79" s="40"/>
      <c r="K79" s="40"/>
      <c r="L79" s="40"/>
      <c r="M79" s="42"/>
    </row>
    <row r="80" spans="1:13" x14ac:dyDescent="0.25">
      <c r="A80" s="40"/>
      <c r="B80" s="40"/>
      <c r="C80" s="40"/>
      <c r="D80" s="40"/>
      <c r="E80" s="52">
        <f t="shared" si="1"/>
        <v>1</v>
      </c>
      <c r="F80" s="40"/>
      <c r="G80" s="40"/>
      <c r="H80" s="40"/>
      <c r="I80" s="40"/>
      <c r="J80" s="40"/>
      <c r="K80" s="40"/>
      <c r="L80" s="40"/>
      <c r="M80" s="42"/>
    </row>
    <row r="81" spans="1:13" x14ac:dyDescent="0.25">
      <c r="A81" s="40"/>
      <c r="B81" s="40"/>
      <c r="C81" s="40"/>
      <c r="D81" s="40"/>
      <c r="E81" s="52">
        <f t="shared" si="1"/>
        <v>1</v>
      </c>
      <c r="F81" s="40"/>
      <c r="G81" s="40"/>
      <c r="H81" s="40"/>
      <c r="I81" s="40"/>
      <c r="J81" s="40"/>
      <c r="K81" s="40"/>
      <c r="L81" s="40"/>
      <c r="M81" s="42"/>
    </row>
    <row r="82" spans="1:13" x14ac:dyDescent="0.25">
      <c r="A82" s="40"/>
      <c r="B82" s="40"/>
      <c r="C82" s="40"/>
      <c r="D82" s="40"/>
      <c r="E82" s="52">
        <f t="shared" si="1"/>
        <v>1</v>
      </c>
      <c r="F82" s="40"/>
      <c r="G82" s="40"/>
      <c r="H82" s="40"/>
      <c r="I82" s="40"/>
      <c r="J82" s="40"/>
      <c r="K82" s="40"/>
      <c r="L82" s="40"/>
      <c r="M82" s="42"/>
    </row>
    <row r="83" spans="1:13" x14ac:dyDescent="0.25">
      <c r="A83" s="40"/>
      <c r="B83" s="40"/>
      <c r="C83" s="40"/>
      <c r="D83" s="40"/>
      <c r="E83" s="52">
        <f t="shared" si="1"/>
        <v>1</v>
      </c>
      <c r="F83" s="40"/>
      <c r="G83" s="40"/>
      <c r="H83" s="40"/>
      <c r="I83" s="40"/>
      <c r="J83" s="40"/>
      <c r="K83" s="40"/>
      <c r="L83" s="40"/>
      <c r="M83" s="42"/>
    </row>
    <row r="84" spans="1:13" x14ac:dyDescent="0.25">
      <c r="A84" s="40"/>
      <c r="B84" s="40"/>
      <c r="C84" s="40"/>
      <c r="D84" s="40"/>
      <c r="E84" s="52">
        <f t="shared" si="1"/>
        <v>1</v>
      </c>
      <c r="F84" s="40"/>
      <c r="G84" s="40"/>
      <c r="H84" s="40"/>
      <c r="I84" s="40"/>
      <c r="J84" s="40"/>
      <c r="K84" s="40"/>
      <c r="L84" s="40"/>
      <c r="M84" s="42"/>
    </row>
    <row r="85" spans="1:13" x14ac:dyDescent="0.25">
      <c r="A85" s="40"/>
      <c r="B85" s="40"/>
      <c r="C85" s="40"/>
      <c r="D85" s="40"/>
      <c r="E85" s="52">
        <f t="shared" si="1"/>
        <v>1</v>
      </c>
      <c r="F85" s="40"/>
      <c r="G85" s="40"/>
      <c r="H85" s="40"/>
      <c r="I85" s="40"/>
      <c r="J85" s="40"/>
      <c r="K85" s="40"/>
      <c r="L85" s="40"/>
      <c r="M85" s="42"/>
    </row>
    <row r="86" spans="1:13" x14ac:dyDescent="0.25">
      <c r="A86" s="40"/>
      <c r="B86" s="40"/>
      <c r="C86" s="40"/>
      <c r="D86" s="40"/>
      <c r="E86" s="52">
        <f t="shared" si="1"/>
        <v>1</v>
      </c>
      <c r="F86" s="40"/>
      <c r="G86" s="40"/>
      <c r="H86" s="40"/>
      <c r="I86" s="40"/>
      <c r="J86" s="40"/>
      <c r="K86" s="40"/>
      <c r="L86" s="40"/>
      <c r="M86" s="42"/>
    </row>
    <row r="87" spans="1:13" x14ac:dyDescent="0.25">
      <c r="A87" s="40"/>
      <c r="B87" s="40"/>
      <c r="C87" s="40"/>
      <c r="D87" s="40"/>
      <c r="E87" s="52">
        <f t="shared" si="1"/>
        <v>1</v>
      </c>
      <c r="F87" s="40"/>
      <c r="G87" s="40"/>
      <c r="H87" s="40"/>
      <c r="I87" s="40"/>
      <c r="J87" s="40"/>
      <c r="K87" s="40"/>
      <c r="L87" s="40"/>
      <c r="M87" s="42"/>
    </row>
    <row r="88" spans="1:13" x14ac:dyDescent="0.25">
      <c r="A88" s="40"/>
      <c r="B88" s="40"/>
      <c r="C88" s="40"/>
      <c r="D88" s="40"/>
      <c r="E88" s="52">
        <f t="shared" si="1"/>
        <v>1</v>
      </c>
      <c r="F88" s="40"/>
      <c r="G88" s="40"/>
      <c r="H88" s="40"/>
      <c r="I88" s="40"/>
      <c r="J88" s="40"/>
      <c r="K88" s="40"/>
      <c r="L88" s="40"/>
      <c r="M88" s="42"/>
    </row>
    <row r="89" spans="1:13" x14ac:dyDescent="0.25">
      <c r="A89" s="40"/>
      <c r="B89" s="40"/>
      <c r="C89" s="40"/>
      <c r="D89" s="41"/>
      <c r="E89" s="52">
        <f t="shared" si="1"/>
        <v>1</v>
      </c>
      <c r="F89" s="40"/>
      <c r="G89" s="40"/>
      <c r="H89" s="40"/>
      <c r="I89" s="40"/>
      <c r="J89" s="40"/>
      <c r="K89" s="40"/>
      <c r="L89" s="40"/>
      <c r="M89" s="42"/>
    </row>
    <row r="90" spans="1:13" x14ac:dyDescent="0.25">
      <c r="A90" s="40"/>
      <c r="B90" s="40"/>
      <c r="C90" s="40"/>
      <c r="D90" s="40"/>
      <c r="E90" s="52">
        <f t="shared" si="1"/>
        <v>1</v>
      </c>
      <c r="F90" s="40"/>
      <c r="G90" s="40"/>
      <c r="H90" s="40"/>
      <c r="I90" s="40"/>
      <c r="J90" s="40"/>
      <c r="K90" s="40"/>
      <c r="L90" s="40"/>
      <c r="M90" s="42"/>
    </row>
    <row r="91" spans="1:13" x14ac:dyDescent="0.25">
      <c r="A91" s="40"/>
      <c r="B91" s="40"/>
      <c r="C91" s="40"/>
      <c r="D91" s="40"/>
      <c r="E91" s="52">
        <f t="shared" si="1"/>
        <v>1</v>
      </c>
      <c r="F91" s="40"/>
      <c r="G91" s="40"/>
      <c r="H91" s="40"/>
      <c r="I91" s="40"/>
      <c r="J91" s="40"/>
      <c r="K91" s="40"/>
      <c r="L91" s="40"/>
      <c r="M91" s="42"/>
    </row>
    <row r="92" spans="1:13" x14ac:dyDescent="0.25">
      <c r="A92" s="40"/>
      <c r="B92" s="40"/>
      <c r="C92" s="40"/>
      <c r="D92" s="41"/>
      <c r="E92" s="52">
        <f t="shared" si="1"/>
        <v>1</v>
      </c>
      <c r="F92" s="40"/>
      <c r="G92" s="40"/>
      <c r="H92" s="40"/>
      <c r="I92" s="40"/>
      <c r="J92" s="40"/>
      <c r="K92" s="40"/>
      <c r="L92" s="40"/>
      <c r="M92" s="42"/>
    </row>
    <row r="93" spans="1:13" x14ac:dyDescent="0.25">
      <c r="A93" s="40"/>
      <c r="B93" s="40"/>
      <c r="C93" s="40"/>
      <c r="D93" s="40"/>
      <c r="E93" s="52">
        <f t="shared" si="1"/>
        <v>1</v>
      </c>
      <c r="F93" s="40"/>
      <c r="G93" s="40"/>
      <c r="H93" s="40"/>
      <c r="I93" s="40"/>
      <c r="J93" s="40"/>
      <c r="K93" s="40"/>
      <c r="L93" s="40"/>
      <c r="M93" s="42"/>
    </row>
    <row r="94" spans="1:13" x14ac:dyDescent="0.25">
      <c r="A94" s="1"/>
      <c r="B94" s="1"/>
      <c r="C94" s="1"/>
      <c r="D94" s="1"/>
      <c r="E94" s="52">
        <f t="shared" si="1"/>
        <v>1</v>
      </c>
      <c r="F94" s="1"/>
      <c r="G94" s="1"/>
      <c r="H94" s="1"/>
      <c r="I94" s="1"/>
      <c r="J94" s="1"/>
      <c r="K94" s="1"/>
      <c r="L94" s="1"/>
    </row>
    <row r="95" spans="1:13" x14ac:dyDescent="0.25">
      <c r="A95" s="1"/>
      <c r="B95" s="1"/>
      <c r="C95" s="1"/>
      <c r="D95" s="1"/>
      <c r="E95" s="52">
        <f t="shared" si="1"/>
        <v>1</v>
      </c>
      <c r="F95" s="1"/>
      <c r="G95" s="1"/>
      <c r="H95" s="1"/>
      <c r="I95" s="1"/>
      <c r="J95" s="1"/>
      <c r="K95" s="1"/>
      <c r="L95" s="1"/>
    </row>
    <row r="96" spans="1:13" x14ac:dyDescent="0.25">
      <c r="A96" s="1"/>
      <c r="B96" s="1"/>
      <c r="C96" s="1"/>
      <c r="D96" s="1"/>
      <c r="E96" s="52">
        <f t="shared" si="1"/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/>
      <c r="E97" s="52">
        <f t="shared" si="1"/>
        <v>1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52">
        <f t="shared" si="1"/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52">
        <f t="shared" si="1"/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52">
        <f t="shared" si="1"/>
        <v>1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52">
        <f t="shared" si="1"/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52">
        <f t="shared" si="1"/>
        <v>1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52">
        <f t="shared" si="1"/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52">
        <f t="shared" si="1"/>
        <v>1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52">
        <f t="shared" si="1"/>
        <v>1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52">
        <f t="shared" si="1"/>
        <v>1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52">
        <f t="shared" si="1"/>
        <v>1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52">
        <f t="shared" si="1"/>
        <v>1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52">
        <f t="shared" si="1"/>
        <v>1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52">
        <f t="shared" si="1"/>
        <v>1</v>
      </c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52">
        <f t="shared" si="1"/>
        <v>1</v>
      </c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4"/>
      <c r="D112" s="1"/>
      <c r="E112" s="52">
        <f t="shared" si="1"/>
        <v>1</v>
      </c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4"/>
      <c r="D113" s="1"/>
      <c r="E113" s="52">
        <f t="shared" si="1"/>
        <v>1</v>
      </c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52">
        <f t="shared" si="1"/>
        <v>1</v>
      </c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52">
        <f t="shared" si="1"/>
        <v>1</v>
      </c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52">
        <f t="shared" si="1"/>
        <v>1</v>
      </c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52">
        <f t="shared" si="1"/>
        <v>1</v>
      </c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52">
        <f t="shared" si="1"/>
        <v>1</v>
      </c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52">
        <f t="shared" si="1"/>
        <v>1</v>
      </c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52">
        <f t="shared" si="1"/>
        <v>1</v>
      </c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52">
        <f t="shared" si="1"/>
        <v>1</v>
      </c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topLeftCell="A34" workbookViewId="0">
      <selection activeCell="J42" sqref="J42"/>
    </sheetView>
  </sheetViews>
  <sheetFormatPr baseColWidth="10" defaultRowHeight="15" x14ac:dyDescent="0.25"/>
  <cols>
    <col min="1" max="1" width="14.85546875" customWidth="1"/>
    <col min="2" max="2" width="33" customWidth="1"/>
    <col min="3" max="4" width="13.5703125" customWidth="1"/>
    <col min="5" max="5" width="14.5703125" customWidth="1"/>
    <col min="6" max="6" width="5.85546875" customWidth="1"/>
    <col min="7" max="7" width="5.42578125" customWidth="1"/>
    <col min="8" max="8" width="30.7109375" customWidth="1"/>
    <col min="9" max="9" width="31.28515625" customWidth="1"/>
    <col min="10" max="10" width="13.85546875" customWidth="1"/>
  </cols>
  <sheetData>
    <row r="1" spans="1:12" x14ac:dyDescent="0.25">
      <c r="A1" s="3" t="s">
        <v>11</v>
      </c>
      <c r="B1" s="3" t="s">
        <v>10</v>
      </c>
      <c r="C1" s="3" t="s">
        <v>47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2" x14ac:dyDescent="0.25">
      <c r="A2" s="40" t="s">
        <v>1274</v>
      </c>
      <c r="B2" s="40" t="s">
        <v>1369</v>
      </c>
      <c r="C2" s="41">
        <v>45505</v>
      </c>
      <c r="D2" s="48">
        <v>45507</v>
      </c>
      <c r="E2" s="52">
        <f t="shared" ref="E2:E65" si="0">D2-C2+1</f>
        <v>3</v>
      </c>
      <c r="F2" s="40">
        <v>39</v>
      </c>
      <c r="G2" s="40" t="s">
        <v>12</v>
      </c>
      <c r="H2" s="40" t="s">
        <v>1370</v>
      </c>
      <c r="I2" s="40" t="s">
        <v>107</v>
      </c>
      <c r="J2" s="67" t="s">
        <v>13</v>
      </c>
      <c r="K2" s="1"/>
      <c r="L2" s="1"/>
    </row>
    <row r="3" spans="1:12" s="105" customFormat="1" x14ac:dyDescent="0.25">
      <c r="A3" s="101" t="s">
        <v>1399</v>
      </c>
      <c r="B3" s="101" t="s">
        <v>1400</v>
      </c>
      <c r="C3" s="102">
        <v>45506</v>
      </c>
      <c r="D3" s="110">
        <v>45508</v>
      </c>
      <c r="E3" s="103">
        <f t="shared" si="0"/>
        <v>3</v>
      </c>
      <c r="F3" s="101">
        <v>49</v>
      </c>
      <c r="G3" s="101" t="s">
        <v>14</v>
      </c>
      <c r="H3" s="101" t="s">
        <v>1401</v>
      </c>
      <c r="I3" s="101" t="s">
        <v>1402</v>
      </c>
      <c r="J3" s="108" t="s">
        <v>13</v>
      </c>
      <c r="K3" s="101"/>
      <c r="L3" s="101"/>
    </row>
    <row r="4" spans="1:12" x14ac:dyDescent="0.25">
      <c r="A4" s="40" t="s">
        <v>1362</v>
      </c>
      <c r="B4" s="40" t="s">
        <v>1363</v>
      </c>
      <c r="C4" s="41">
        <v>45508</v>
      </c>
      <c r="D4" s="41">
        <v>45513</v>
      </c>
      <c r="E4" s="52">
        <f t="shared" si="0"/>
        <v>6</v>
      </c>
      <c r="F4" s="40">
        <v>51</v>
      </c>
      <c r="G4" s="40" t="s">
        <v>14</v>
      </c>
      <c r="H4" s="40" t="s">
        <v>1364</v>
      </c>
      <c r="I4" s="40" t="s">
        <v>1365</v>
      </c>
      <c r="J4" s="40"/>
      <c r="K4" s="1"/>
      <c r="L4" s="1"/>
    </row>
    <row r="5" spans="1:12" x14ac:dyDescent="0.25">
      <c r="A5" s="40" t="s">
        <v>1358</v>
      </c>
      <c r="B5" s="40" t="s">
        <v>1359</v>
      </c>
      <c r="C5" s="41">
        <v>45504</v>
      </c>
      <c r="D5" s="41">
        <v>45512</v>
      </c>
      <c r="E5" s="52">
        <f t="shared" si="0"/>
        <v>9</v>
      </c>
      <c r="F5" s="40">
        <v>34</v>
      </c>
      <c r="G5" s="40" t="s">
        <v>14</v>
      </c>
      <c r="H5" s="40" t="s">
        <v>1360</v>
      </c>
      <c r="I5" s="40" t="s">
        <v>1361</v>
      </c>
      <c r="J5" s="40"/>
      <c r="K5" s="1"/>
      <c r="L5" s="1"/>
    </row>
    <row r="6" spans="1:12" s="19" customFormat="1" x14ac:dyDescent="0.25">
      <c r="A6" s="40" t="s">
        <v>1285</v>
      </c>
      <c r="B6" s="40" t="s">
        <v>1286</v>
      </c>
      <c r="C6" s="41">
        <v>45510</v>
      </c>
      <c r="D6" s="41">
        <v>45520</v>
      </c>
      <c r="E6" s="52">
        <f t="shared" si="0"/>
        <v>11</v>
      </c>
      <c r="F6" s="40">
        <v>33</v>
      </c>
      <c r="G6" s="40" t="s">
        <v>12</v>
      </c>
      <c r="H6" s="40" t="s">
        <v>1287</v>
      </c>
      <c r="I6" s="75" t="s">
        <v>1288</v>
      </c>
      <c r="J6" s="71" t="s">
        <v>867</v>
      </c>
      <c r="K6" s="18"/>
      <c r="L6" s="18"/>
    </row>
    <row r="7" spans="1:12" s="19" customFormat="1" x14ac:dyDescent="0.25">
      <c r="A7" s="40" t="s">
        <v>1366</v>
      </c>
      <c r="B7" s="40" t="s">
        <v>57</v>
      </c>
      <c r="C7" s="41">
        <v>45509</v>
      </c>
      <c r="D7" s="48">
        <v>45511</v>
      </c>
      <c r="E7" s="52">
        <f t="shared" si="0"/>
        <v>3</v>
      </c>
      <c r="F7" s="40">
        <v>40</v>
      </c>
      <c r="G7" s="40" t="s">
        <v>14</v>
      </c>
      <c r="H7" s="40" t="s">
        <v>1367</v>
      </c>
      <c r="I7" s="75" t="s">
        <v>1368</v>
      </c>
      <c r="J7" s="67" t="s">
        <v>13</v>
      </c>
      <c r="K7" s="18"/>
      <c r="L7" s="18"/>
    </row>
    <row r="8" spans="1:12" x14ac:dyDescent="0.25">
      <c r="A8" s="40" t="s">
        <v>1309</v>
      </c>
      <c r="B8" s="40" t="s">
        <v>1310</v>
      </c>
      <c r="C8" s="41">
        <v>45510</v>
      </c>
      <c r="D8" s="48">
        <v>45523</v>
      </c>
      <c r="E8" s="52">
        <f t="shared" si="0"/>
        <v>14</v>
      </c>
      <c r="F8" s="40">
        <v>93</v>
      </c>
      <c r="G8" s="40" t="s">
        <v>12</v>
      </c>
      <c r="H8" s="40" t="s">
        <v>1311</v>
      </c>
      <c r="I8" s="40" t="s">
        <v>1312</v>
      </c>
      <c r="J8" s="67" t="s">
        <v>13</v>
      </c>
      <c r="K8" s="1"/>
      <c r="L8" s="1"/>
    </row>
    <row r="9" spans="1:12" x14ac:dyDescent="0.25">
      <c r="A9" s="40" t="s">
        <v>1301</v>
      </c>
      <c r="B9" s="40" t="s">
        <v>77</v>
      </c>
      <c r="C9" s="41">
        <v>45511</v>
      </c>
      <c r="D9" s="41">
        <v>45525</v>
      </c>
      <c r="E9" s="52">
        <f t="shared" si="0"/>
        <v>15</v>
      </c>
      <c r="F9" s="40">
        <v>49</v>
      </c>
      <c r="G9" s="40" t="s">
        <v>12</v>
      </c>
      <c r="H9" s="40" t="s">
        <v>1302</v>
      </c>
      <c r="I9" s="40" t="s">
        <v>1303</v>
      </c>
      <c r="J9" s="40"/>
      <c r="K9" s="1"/>
      <c r="L9" s="1"/>
    </row>
    <row r="10" spans="1:12" x14ac:dyDescent="0.25">
      <c r="A10" s="40" t="s">
        <v>1281</v>
      </c>
      <c r="B10" s="40" t="s">
        <v>1282</v>
      </c>
      <c r="C10" s="41">
        <v>45511</v>
      </c>
      <c r="D10" s="41">
        <v>45518</v>
      </c>
      <c r="E10" s="52">
        <f t="shared" si="0"/>
        <v>8</v>
      </c>
      <c r="F10" s="40">
        <v>69</v>
      </c>
      <c r="G10" s="40" t="s">
        <v>14</v>
      </c>
      <c r="H10" s="40" t="s">
        <v>1283</v>
      </c>
      <c r="I10" s="40" t="s">
        <v>1284</v>
      </c>
      <c r="J10" s="40"/>
      <c r="K10" s="1"/>
      <c r="L10" s="1"/>
    </row>
    <row r="11" spans="1:12" x14ac:dyDescent="0.25">
      <c r="A11" s="40" t="s">
        <v>1353</v>
      </c>
      <c r="B11" s="40" t="s">
        <v>1354</v>
      </c>
      <c r="C11" s="41">
        <v>45510</v>
      </c>
      <c r="D11" s="41">
        <v>45518</v>
      </c>
      <c r="E11" s="52">
        <f t="shared" si="0"/>
        <v>9</v>
      </c>
      <c r="F11" s="40">
        <v>39</v>
      </c>
      <c r="G11" s="40" t="s">
        <v>14</v>
      </c>
      <c r="H11" s="40" t="s">
        <v>1355</v>
      </c>
      <c r="I11" s="40" t="s">
        <v>1356</v>
      </c>
      <c r="J11" s="40"/>
      <c r="K11" s="1"/>
      <c r="L11" s="1"/>
    </row>
    <row r="12" spans="1:12" x14ac:dyDescent="0.25">
      <c r="A12" s="40" t="s">
        <v>1345</v>
      </c>
      <c r="B12" s="40" t="s">
        <v>1346</v>
      </c>
      <c r="C12" s="41">
        <v>45512</v>
      </c>
      <c r="D12" s="41">
        <v>45516</v>
      </c>
      <c r="E12" s="52">
        <f t="shared" si="0"/>
        <v>5</v>
      </c>
      <c r="F12" s="40">
        <v>57</v>
      </c>
      <c r="G12" s="40" t="s">
        <v>12</v>
      </c>
      <c r="H12" s="40" t="s">
        <v>1347</v>
      </c>
      <c r="I12" s="40" t="s">
        <v>1348</v>
      </c>
      <c r="J12" s="40"/>
      <c r="K12" s="1"/>
      <c r="L12" s="1"/>
    </row>
    <row r="13" spans="1:12" s="56" customFormat="1" x14ac:dyDescent="0.25">
      <c r="A13" s="53" t="s">
        <v>1375</v>
      </c>
      <c r="B13" s="53" t="s">
        <v>1376</v>
      </c>
      <c r="C13" s="54">
        <v>45512</v>
      </c>
      <c r="D13" s="78">
        <v>45534</v>
      </c>
      <c r="E13" s="55">
        <f t="shared" si="0"/>
        <v>23</v>
      </c>
      <c r="F13" s="53">
        <v>21</v>
      </c>
      <c r="G13" s="53" t="s">
        <v>12</v>
      </c>
      <c r="H13" s="53" t="s">
        <v>1377</v>
      </c>
      <c r="I13" s="58" t="s">
        <v>145</v>
      </c>
      <c r="J13" s="57"/>
      <c r="K13" s="53"/>
      <c r="L13" s="53"/>
    </row>
    <row r="14" spans="1:12" s="56" customFormat="1" x14ac:dyDescent="0.25">
      <c r="A14" s="53" t="s">
        <v>1403</v>
      </c>
      <c r="B14" s="53" t="s">
        <v>1404</v>
      </c>
      <c r="C14" s="54">
        <v>45512</v>
      </c>
      <c r="D14" s="78">
        <v>45546</v>
      </c>
      <c r="E14" s="55">
        <f t="shared" si="0"/>
        <v>35</v>
      </c>
      <c r="F14" s="53" t="s">
        <v>1405</v>
      </c>
      <c r="G14" s="53" t="s">
        <v>14</v>
      </c>
      <c r="H14" s="53" t="s">
        <v>1406</v>
      </c>
      <c r="I14" s="58" t="s">
        <v>145</v>
      </c>
      <c r="J14" s="57"/>
      <c r="K14" s="53"/>
      <c r="L14" s="53"/>
    </row>
    <row r="15" spans="1:12" s="19" customFormat="1" x14ac:dyDescent="0.25">
      <c r="A15" s="40" t="s">
        <v>1304</v>
      </c>
      <c r="B15" s="40" t="s">
        <v>1305</v>
      </c>
      <c r="C15" s="41">
        <v>45515</v>
      </c>
      <c r="D15" s="41">
        <v>45525</v>
      </c>
      <c r="E15" s="52">
        <f t="shared" si="0"/>
        <v>11</v>
      </c>
      <c r="F15" s="40">
        <v>26</v>
      </c>
      <c r="G15" s="40" t="s">
        <v>14</v>
      </c>
      <c r="H15" s="40" t="s">
        <v>1306</v>
      </c>
      <c r="I15" s="75" t="s">
        <v>1307</v>
      </c>
      <c r="J15" s="40"/>
      <c r="K15" s="18"/>
      <c r="L15" s="18"/>
    </row>
    <row r="16" spans="1:12" x14ac:dyDescent="0.25">
      <c r="A16" s="40" t="s">
        <v>1340</v>
      </c>
      <c r="B16" s="40" t="s">
        <v>1341</v>
      </c>
      <c r="C16" s="41">
        <v>45515</v>
      </c>
      <c r="D16" s="48">
        <v>45517</v>
      </c>
      <c r="E16" s="52">
        <f t="shared" si="0"/>
        <v>3</v>
      </c>
      <c r="F16" s="40">
        <v>17</v>
      </c>
      <c r="G16" s="40" t="s">
        <v>14</v>
      </c>
      <c r="H16" s="40" t="s">
        <v>1342</v>
      </c>
      <c r="I16" s="40" t="s">
        <v>1216</v>
      </c>
      <c r="J16" s="67" t="s">
        <v>13</v>
      </c>
      <c r="K16" s="1"/>
      <c r="L16" s="1"/>
    </row>
    <row r="17" spans="1:12" x14ac:dyDescent="0.25">
      <c r="A17" s="40" t="s">
        <v>1349</v>
      </c>
      <c r="B17" s="40" t="s">
        <v>1350</v>
      </c>
      <c r="C17" s="41">
        <v>45515</v>
      </c>
      <c r="D17" s="74">
        <v>45517</v>
      </c>
      <c r="E17" s="52">
        <f t="shared" si="0"/>
        <v>3</v>
      </c>
      <c r="F17" s="40">
        <v>66</v>
      </c>
      <c r="G17" s="40" t="s">
        <v>12</v>
      </c>
      <c r="H17" s="40" t="s">
        <v>1351</v>
      </c>
      <c r="I17" s="40" t="s">
        <v>1352</v>
      </c>
      <c r="J17" s="67"/>
      <c r="K17" s="1"/>
      <c r="L17" s="1"/>
    </row>
    <row r="18" spans="1:12" x14ac:dyDescent="0.25">
      <c r="A18" s="40" t="s">
        <v>1407</v>
      </c>
      <c r="B18" s="40" t="s">
        <v>1408</v>
      </c>
      <c r="C18" s="41">
        <v>45516</v>
      </c>
      <c r="D18" s="111">
        <v>45547</v>
      </c>
      <c r="E18" s="52">
        <f t="shared" si="0"/>
        <v>32</v>
      </c>
      <c r="F18" s="40">
        <v>74</v>
      </c>
      <c r="G18" s="40" t="s">
        <v>12</v>
      </c>
      <c r="H18" s="40" t="s">
        <v>1451</v>
      </c>
      <c r="I18" s="75" t="s">
        <v>1450</v>
      </c>
      <c r="J18" s="1"/>
      <c r="K18" s="1"/>
      <c r="L18" s="1"/>
    </row>
    <row r="19" spans="1:12" s="19" customFormat="1" x14ac:dyDescent="0.25">
      <c r="A19" s="40" t="s">
        <v>1296</v>
      </c>
      <c r="B19" s="40" t="s">
        <v>1297</v>
      </c>
      <c r="C19" s="41">
        <v>45517</v>
      </c>
      <c r="D19" s="41">
        <v>45525</v>
      </c>
      <c r="E19" s="52">
        <f t="shared" si="0"/>
        <v>9</v>
      </c>
      <c r="F19" s="40">
        <v>32</v>
      </c>
      <c r="G19" s="40" t="s">
        <v>12</v>
      </c>
      <c r="H19" s="40" t="s">
        <v>1298</v>
      </c>
      <c r="I19" s="75" t="s">
        <v>1299</v>
      </c>
      <c r="J19" s="40"/>
      <c r="K19" s="18"/>
      <c r="L19" s="18"/>
    </row>
    <row r="20" spans="1:12" s="56" customFormat="1" x14ac:dyDescent="0.25">
      <c r="A20" s="53" t="s">
        <v>1409</v>
      </c>
      <c r="B20" s="53" t="s">
        <v>1410</v>
      </c>
      <c r="C20" s="54">
        <v>45518</v>
      </c>
      <c r="D20" s="54">
        <v>45537</v>
      </c>
      <c r="E20" s="55">
        <f t="shared" si="0"/>
        <v>20</v>
      </c>
      <c r="F20" s="53">
        <v>16</v>
      </c>
      <c r="G20" s="53" t="s">
        <v>12</v>
      </c>
      <c r="H20" s="53" t="s">
        <v>1411</v>
      </c>
      <c r="I20" s="109" t="s">
        <v>145</v>
      </c>
      <c r="J20" s="53"/>
      <c r="K20" s="53"/>
      <c r="L20" s="53"/>
    </row>
    <row r="21" spans="1:12" x14ac:dyDescent="0.25">
      <c r="A21" s="40" t="s">
        <v>1334</v>
      </c>
      <c r="B21" s="40" t="s">
        <v>1335</v>
      </c>
      <c r="C21" s="41">
        <v>45518</v>
      </c>
      <c r="D21" s="41">
        <v>45526</v>
      </c>
      <c r="E21" s="52">
        <f t="shared" si="0"/>
        <v>9</v>
      </c>
      <c r="F21" s="40">
        <v>74</v>
      </c>
      <c r="G21" s="40" t="s">
        <v>14</v>
      </c>
      <c r="H21" s="40" t="s">
        <v>1336</v>
      </c>
      <c r="I21" s="40" t="s">
        <v>1337</v>
      </c>
      <c r="J21" s="40"/>
      <c r="K21" s="1"/>
      <c r="L21" s="1"/>
    </row>
    <row r="22" spans="1:12" s="56" customFormat="1" x14ac:dyDescent="0.25">
      <c r="A22" s="53" t="s">
        <v>1390</v>
      </c>
      <c r="B22" s="53" t="s">
        <v>1391</v>
      </c>
      <c r="C22" s="54">
        <v>45519</v>
      </c>
      <c r="D22" s="54">
        <v>45537</v>
      </c>
      <c r="E22" s="55">
        <f t="shared" si="0"/>
        <v>19</v>
      </c>
      <c r="F22" s="53">
        <v>17</v>
      </c>
      <c r="G22" s="53" t="s">
        <v>12</v>
      </c>
      <c r="H22" s="53" t="s">
        <v>1392</v>
      </c>
      <c r="I22" s="58" t="s">
        <v>145</v>
      </c>
      <c r="J22" s="53"/>
      <c r="K22" s="53"/>
      <c r="L22" s="53"/>
    </row>
    <row r="23" spans="1:12" x14ac:dyDescent="0.25">
      <c r="A23" s="40" t="s">
        <v>1412</v>
      </c>
      <c r="B23" s="40" t="s">
        <v>1413</v>
      </c>
      <c r="C23" s="41">
        <v>45519</v>
      </c>
      <c r="D23" s="41">
        <v>45525</v>
      </c>
      <c r="E23" s="52">
        <f t="shared" si="0"/>
        <v>7</v>
      </c>
      <c r="F23" s="40">
        <v>18</v>
      </c>
      <c r="G23" s="40" t="s">
        <v>14</v>
      </c>
      <c r="H23" s="40" t="s">
        <v>1414</v>
      </c>
      <c r="I23" s="40" t="s">
        <v>1500</v>
      </c>
      <c r="J23" s="40"/>
      <c r="K23" s="1"/>
      <c r="L23" s="1"/>
    </row>
    <row r="24" spans="1:12" x14ac:dyDescent="0.25">
      <c r="A24" s="40" t="s">
        <v>1445</v>
      </c>
      <c r="B24" s="40" t="s">
        <v>1182</v>
      </c>
      <c r="C24" s="41">
        <v>45520</v>
      </c>
      <c r="D24" s="48">
        <v>45524</v>
      </c>
      <c r="E24" s="52">
        <f t="shared" si="0"/>
        <v>5</v>
      </c>
      <c r="F24" s="40">
        <v>56</v>
      </c>
      <c r="G24" s="40" t="s">
        <v>14</v>
      </c>
      <c r="H24" s="40" t="s">
        <v>1279</v>
      </c>
      <c r="I24" s="40" t="s">
        <v>1280</v>
      </c>
      <c r="J24" s="67" t="s">
        <v>13</v>
      </c>
      <c r="K24" s="1"/>
      <c r="L24" s="1"/>
    </row>
    <row r="25" spans="1:12" x14ac:dyDescent="0.25">
      <c r="A25" s="40" t="s">
        <v>1396</v>
      </c>
      <c r="B25" s="40" t="s">
        <v>1397</v>
      </c>
      <c r="C25" s="41">
        <v>45523</v>
      </c>
      <c r="D25" s="74">
        <v>45534</v>
      </c>
      <c r="E25" s="52">
        <f t="shared" si="0"/>
        <v>12</v>
      </c>
      <c r="F25" s="40">
        <v>32</v>
      </c>
      <c r="G25" s="40" t="s">
        <v>14</v>
      </c>
      <c r="H25" s="40" t="s">
        <v>1398</v>
      </c>
      <c r="I25" s="75" t="s">
        <v>37</v>
      </c>
      <c r="J25" s="67"/>
      <c r="K25" s="1"/>
      <c r="L25" s="1"/>
    </row>
    <row r="26" spans="1:12" s="42" customFormat="1" x14ac:dyDescent="0.25">
      <c r="A26" s="40" t="s">
        <v>1293</v>
      </c>
      <c r="B26" s="40" t="s">
        <v>1294</v>
      </c>
      <c r="C26" s="41">
        <v>45523</v>
      </c>
      <c r="D26" s="74">
        <v>45525</v>
      </c>
      <c r="E26" s="52">
        <f t="shared" si="0"/>
        <v>3</v>
      </c>
      <c r="F26" s="40">
        <v>56</v>
      </c>
      <c r="G26" s="40" t="s">
        <v>14</v>
      </c>
      <c r="H26" s="40" t="s">
        <v>1295</v>
      </c>
      <c r="I26" s="67" t="s">
        <v>1446</v>
      </c>
      <c r="J26" s="67"/>
      <c r="K26" s="40"/>
      <c r="L26" s="40"/>
    </row>
    <row r="27" spans="1:12" x14ac:dyDescent="0.25">
      <c r="A27" s="40" t="s">
        <v>1326</v>
      </c>
      <c r="B27" s="40" t="s">
        <v>1327</v>
      </c>
      <c r="C27" s="41">
        <v>45525</v>
      </c>
      <c r="D27" s="41">
        <v>45530</v>
      </c>
      <c r="E27" s="52">
        <f t="shared" si="0"/>
        <v>6</v>
      </c>
      <c r="F27" s="40">
        <v>76</v>
      </c>
      <c r="G27" s="40" t="s">
        <v>12</v>
      </c>
      <c r="H27" s="40" t="s">
        <v>1328</v>
      </c>
      <c r="I27" s="40" t="s">
        <v>1329</v>
      </c>
      <c r="J27" s="40"/>
      <c r="K27" s="1"/>
      <c r="L27" s="1"/>
    </row>
    <row r="28" spans="1:12" x14ac:dyDescent="0.25">
      <c r="A28" s="40" t="s">
        <v>1313</v>
      </c>
      <c r="B28" s="40" t="s">
        <v>1314</v>
      </c>
      <c r="C28" s="41">
        <v>45524</v>
      </c>
      <c r="D28" s="48">
        <v>45526</v>
      </c>
      <c r="E28" s="52">
        <f t="shared" si="0"/>
        <v>3</v>
      </c>
      <c r="F28" s="40">
        <v>64</v>
      </c>
      <c r="G28" s="40" t="s">
        <v>12</v>
      </c>
      <c r="H28" s="40" t="s">
        <v>1315</v>
      </c>
      <c r="I28" s="40" t="s">
        <v>22</v>
      </c>
      <c r="J28" s="67" t="s">
        <v>13</v>
      </c>
      <c r="K28" s="1"/>
      <c r="L28" s="1"/>
    </row>
    <row r="29" spans="1:12" s="19" customFormat="1" x14ac:dyDescent="0.25">
      <c r="A29" s="40" t="s">
        <v>1289</v>
      </c>
      <c r="B29" s="40" t="s">
        <v>1290</v>
      </c>
      <c r="C29" s="41">
        <v>45524</v>
      </c>
      <c r="D29" s="41">
        <v>45525</v>
      </c>
      <c r="E29" s="52">
        <f t="shared" si="0"/>
        <v>2</v>
      </c>
      <c r="F29" s="40">
        <v>26</v>
      </c>
      <c r="G29" s="40" t="s">
        <v>14</v>
      </c>
      <c r="H29" s="40" t="s">
        <v>1291</v>
      </c>
      <c r="I29" s="75" t="s">
        <v>1292</v>
      </c>
      <c r="J29" s="40"/>
      <c r="K29" s="18"/>
      <c r="L29" s="18"/>
    </row>
    <row r="30" spans="1:12" x14ac:dyDescent="0.25">
      <c r="A30" s="53" t="s">
        <v>1415</v>
      </c>
      <c r="B30" s="53" t="s">
        <v>1416</v>
      </c>
      <c r="C30" s="54">
        <v>45526</v>
      </c>
      <c r="D30" s="78">
        <v>45555</v>
      </c>
      <c r="E30" s="55">
        <f t="shared" si="0"/>
        <v>30</v>
      </c>
      <c r="F30" s="53">
        <v>52</v>
      </c>
      <c r="G30" s="53" t="s">
        <v>12</v>
      </c>
      <c r="H30" s="53" t="s">
        <v>1417</v>
      </c>
      <c r="I30" s="58" t="s">
        <v>145</v>
      </c>
      <c r="J30" s="53"/>
      <c r="K30" s="53"/>
      <c r="L30" s="53"/>
    </row>
    <row r="31" spans="1:12" s="56" customFormat="1" x14ac:dyDescent="0.25">
      <c r="A31" s="53" t="s">
        <v>1418</v>
      </c>
      <c r="B31" s="53" t="s">
        <v>1419</v>
      </c>
      <c r="C31" s="54">
        <v>45528</v>
      </c>
      <c r="D31" s="54">
        <v>45554</v>
      </c>
      <c r="E31" s="55">
        <f t="shared" si="0"/>
        <v>27</v>
      </c>
      <c r="F31" s="53">
        <v>26</v>
      </c>
      <c r="G31" s="53" t="s">
        <v>12</v>
      </c>
      <c r="H31" s="53" t="s">
        <v>1420</v>
      </c>
      <c r="I31" s="58" t="s">
        <v>145</v>
      </c>
      <c r="J31" s="53"/>
      <c r="K31" s="53"/>
      <c r="L31" s="53"/>
    </row>
    <row r="32" spans="1:12" x14ac:dyDescent="0.25">
      <c r="A32" s="40" t="s">
        <v>1275</v>
      </c>
      <c r="B32" s="40" t="s">
        <v>1276</v>
      </c>
      <c r="C32" s="41">
        <v>45528</v>
      </c>
      <c r="D32" s="41">
        <v>45533</v>
      </c>
      <c r="E32" s="52">
        <f t="shared" si="0"/>
        <v>6</v>
      </c>
      <c r="F32" s="40">
        <v>49</v>
      </c>
      <c r="G32" s="40" t="s">
        <v>14</v>
      </c>
      <c r="H32" s="40" t="s">
        <v>1277</v>
      </c>
      <c r="I32" s="40" t="s">
        <v>1278</v>
      </c>
      <c r="J32" s="40"/>
      <c r="K32" s="1"/>
      <c r="L32" s="1"/>
    </row>
    <row r="33" spans="1:12" x14ac:dyDescent="0.25">
      <c r="A33" s="40" t="s">
        <v>1316</v>
      </c>
      <c r="B33" s="40" t="s">
        <v>1317</v>
      </c>
      <c r="C33" s="41">
        <v>45524</v>
      </c>
      <c r="D33" s="74">
        <v>45525</v>
      </c>
      <c r="E33" s="52">
        <f t="shared" si="0"/>
        <v>2</v>
      </c>
      <c r="F33" s="40">
        <v>15</v>
      </c>
      <c r="G33" s="40" t="s">
        <v>14</v>
      </c>
      <c r="H33" s="40" t="s">
        <v>1318</v>
      </c>
      <c r="I33" s="40" t="s">
        <v>328</v>
      </c>
      <c r="J33" s="71" t="s">
        <v>867</v>
      </c>
      <c r="K33" s="1"/>
      <c r="L33" s="1"/>
    </row>
    <row r="34" spans="1:12" x14ac:dyDescent="0.25">
      <c r="A34" s="40" t="s">
        <v>1319</v>
      </c>
      <c r="B34" s="40" t="s">
        <v>1320</v>
      </c>
      <c r="C34" s="41">
        <v>45524</v>
      </c>
      <c r="D34" s="41">
        <v>45526</v>
      </c>
      <c r="E34" s="52">
        <f t="shared" si="0"/>
        <v>3</v>
      </c>
      <c r="F34" s="40">
        <v>39</v>
      </c>
      <c r="G34" s="40" t="s">
        <v>12</v>
      </c>
      <c r="H34" s="40" t="s">
        <v>1321</v>
      </c>
      <c r="I34" s="40" t="s">
        <v>1322</v>
      </c>
      <c r="J34" s="67"/>
      <c r="K34" s="1"/>
      <c r="L34" s="1"/>
    </row>
    <row r="35" spans="1:12" x14ac:dyDescent="0.25">
      <c r="A35" s="40" t="s">
        <v>1330</v>
      </c>
      <c r="B35" s="40" t="s">
        <v>1333</v>
      </c>
      <c r="C35" s="41">
        <v>45528</v>
      </c>
      <c r="D35" s="74">
        <v>45531</v>
      </c>
      <c r="E35" s="52">
        <f t="shared" si="0"/>
        <v>4</v>
      </c>
      <c r="F35" s="40">
        <v>59</v>
      </c>
      <c r="G35" s="40" t="s">
        <v>14</v>
      </c>
      <c r="H35" s="40" t="s">
        <v>1331</v>
      </c>
      <c r="I35" s="40" t="s">
        <v>1332</v>
      </c>
      <c r="J35" s="67"/>
      <c r="K35" s="1"/>
      <c r="L35" s="1"/>
    </row>
    <row r="36" spans="1:12" x14ac:dyDescent="0.25">
      <c r="A36" s="40" t="s">
        <v>1338</v>
      </c>
      <c r="B36" s="40" t="s">
        <v>845</v>
      </c>
      <c r="C36" s="41">
        <v>45524</v>
      </c>
      <c r="D36" s="48">
        <v>45524</v>
      </c>
      <c r="E36" s="52">
        <f t="shared" si="0"/>
        <v>1</v>
      </c>
      <c r="F36" s="40">
        <v>85</v>
      </c>
      <c r="G36" s="40" t="s">
        <v>12</v>
      </c>
      <c r="H36" s="40" t="s">
        <v>846</v>
      </c>
      <c r="I36" s="40" t="s">
        <v>1339</v>
      </c>
      <c r="J36" s="67" t="s">
        <v>13</v>
      </c>
      <c r="K36" s="1"/>
      <c r="L36" s="1"/>
    </row>
    <row r="37" spans="1:12" x14ac:dyDescent="0.25">
      <c r="A37" s="40" t="s">
        <v>1378</v>
      </c>
      <c r="B37" s="40" t="s">
        <v>1379</v>
      </c>
      <c r="C37" s="41">
        <v>45525</v>
      </c>
      <c r="D37" s="41">
        <v>45534</v>
      </c>
      <c r="E37" s="52">
        <f t="shared" si="0"/>
        <v>10</v>
      </c>
      <c r="F37" s="40">
        <v>27</v>
      </c>
      <c r="G37" s="40" t="s">
        <v>14</v>
      </c>
      <c r="H37" s="40" t="s">
        <v>1380</v>
      </c>
      <c r="I37" s="40" t="s">
        <v>1381</v>
      </c>
      <c r="J37" s="40"/>
      <c r="K37" s="1"/>
      <c r="L37" s="1"/>
    </row>
    <row r="38" spans="1:12" x14ac:dyDescent="0.25">
      <c r="A38" s="40" t="s">
        <v>1383</v>
      </c>
      <c r="B38" s="40" t="s">
        <v>1421</v>
      </c>
      <c r="C38" s="41">
        <v>45529</v>
      </c>
      <c r="D38" s="74">
        <v>45544</v>
      </c>
      <c r="E38" s="52">
        <f t="shared" si="0"/>
        <v>16</v>
      </c>
      <c r="F38" s="40">
        <v>28</v>
      </c>
      <c r="G38" s="40" t="s">
        <v>14</v>
      </c>
      <c r="H38" s="40" t="s">
        <v>1422</v>
      </c>
      <c r="I38" s="40" t="s">
        <v>1452</v>
      </c>
      <c r="J38" s="67" t="s">
        <v>45</v>
      </c>
      <c r="L38" s="1"/>
    </row>
    <row r="39" spans="1:12" x14ac:dyDescent="0.25">
      <c r="A39" s="40" t="s">
        <v>1382</v>
      </c>
      <c r="B39" s="40" t="s">
        <v>1384</v>
      </c>
      <c r="C39" s="41">
        <v>45530</v>
      </c>
      <c r="D39" s="41">
        <v>45534</v>
      </c>
      <c r="E39" s="52">
        <f t="shared" si="0"/>
        <v>5</v>
      </c>
      <c r="F39" s="40">
        <v>60</v>
      </c>
      <c r="G39" s="40" t="s">
        <v>14</v>
      </c>
      <c r="H39" s="40" t="s">
        <v>1385</v>
      </c>
      <c r="I39" s="40" t="s">
        <v>1386</v>
      </c>
      <c r="J39" s="71" t="s">
        <v>81</v>
      </c>
      <c r="K39" s="1"/>
      <c r="L39" s="1"/>
    </row>
    <row r="40" spans="1:12" x14ac:dyDescent="0.25">
      <c r="A40" s="40" t="s">
        <v>1423</v>
      </c>
      <c r="B40" s="40" t="s">
        <v>1424</v>
      </c>
      <c r="C40" s="41">
        <v>45531</v>
      </c>
      <c r="D40" s="41">
        <v>45540</v>
      </c>
      <c r="E40" s="52">
        <f t="shared" si="0"/>
        <v>10</v>
      </c>
      <c r="F40" s="40">
        <v>26</v>
      </c>
      <c r="G40" s="40" t="s">
        <v>12</v>
      </c>
      <c r="H40" s="40" t="s">
        <v>1459</v>
      </c>
      <c r="I40" s="40" t="s">
        <v>454</v>
      </c>
      <c r="J40" s="40"/>
      <c r="K40" s="1"/>
      <c r="L40" s="1"/>
    </row>
    <row r="41" spans="1:12" x14ac:dyDescent="0.25">
      <c r="A41" s="40" t="s">
        <v>1425</v>
      </c>
      <c r="B41" s="40" t="s">
        <v>1426</v>
      </c>
      <c r="C41" s="41">
        <v>45531</v>
      </c>
      <c r="D41" s="74">
        <v>45548</v>
      </c>
      <c r="E41" s="52">
        <f t="shared" si="0"/>
        <v>18</v>
      </c>
      <c r="F41" s="40">
        <v>67</v>
      </c>
      <c r="G41" s="40" t="s">
        <v>12</v>
      </c>
      <c r="H41" s="40" t="s">
        <v>1427</v>
      </c>
      <c r="I41" s="40" t="s">
        <v>1491</v>
      </c>
      <c r="J41" s="67"/>
      <c r="K41" s="1"/>
      <c r="L41" s="1"/>
    </row>
    <row r="42" spans="1:12" x14ac:dyDescent="0.25">
      <c r="A42" s="40" t="s">
        <v>1428</v>
      </c>
      <c r="B42" s="40" t="s">
        <v>1429</v>
      </c>
      <c r="C42" s="41">
        <v>45531</v>
      </c>
      <c r="D42" s="48">
        <v>45543</v>
      </c>
      <c r="E42" s="52">
        <f t="shared" si="0"/>
        <v>13</v>
      </c>
      <c r="F42" s="40">
        <v>64</v>
      </c>
      <c r="G42" s="40" t="s">
        <v>12</v>
      </c>
      <c r="H42" s="40" t="s">
        <v>1430</v>
      </c>
      <c r="I42" s="40" t="s">
        <v>16</v>
      </c>
      <c r="J42" s="67" t="s">
        <v>13</v>
      </c>
      <c r="K42" s="1"/>
      <c r="L42" s="1"/>
    </row>
    <row r="43" spans="1:12" s="19" customFormat="1" x14ac:dyDescent="0.25">
      <c r="A43" s="40" t="s">
        <v>1371</v>
      </c>
      <c r="B43" s="40" t="s">
        <v>1372</v>
      </c>
      <c r="C43" s="41">
        <v>45533</v>
      </c>
      <c r="D43" s="48">
        <v>45533</v>
      </c>
      <c r="E43" s="52">
        <f t="shared" si="0"/>
        <v>1</v>
      </c>
      <c r="F43" s="40">
        <v>48</v>
      </c>
      <c r="G43" s="40" t="s">
        <v>12</v>
      </c>
      <c r="H43" s="40" t="s">
        <v>1373</v>
      </c>
      <c r="I43" s="75" t="s">
        <v>1374</v>
      </c>
      <c r="J43" s="67" t="s">
        <v>13</v>
      </c>
      <c r="K43" s="18"/>
      <c r="L43" s="18"/>
    </row>
    <row r="44" spans="1:12" x14ac:dyDescent="0.25">
      <c r="A44" s="40" t="s">
        <v>1387</v>
      </c>
      <c r="B44" s="40" t="s">
        <v>1388</v>
      </c>
      <c r="C44" s="41">
        <v>45533</v>
      </c>
      <c r="D44" s="48">
        <v>45536</v>
      </c>
      <c r="E44" s="52">
        <f t="shared" si="0"/>
        <v>4</v>
      </c>
      <c r="F44" s="40">
        <v>46</v>
      </c>
      <c r="G44" s="40" t="s">
        <v>12</v>
      </c>
      <c r="H44" s="40" t="s">
        <v>1389</v>
      </c>
      <c r="I44" s="40" t="s">
        <v>576</v>
      </c>
      <c r="J44" s="67" t="s">
        <v>13</v>
      </c>
      <c r="K44" s="1"/>
      <c r="L44" s="1"/>
    </row>
    <row r="45" spans="1:12" x14ac:dyDescent="0.25">
      <c r="A45" s="40" t="s">
        <v>1393</v>
      </c>
      <c r="B45" s="40" t="s">
        <v>1394</v>
      </c>
      <c r="C45" s="41">
        <v>45532</v>
      </c>
      <c r="D45" s="41">
        <v>45537</v>
      </c>
      <c r="E45" s="52">
        <f t="shared" si="0"/>
        <v>6</v>
      </c>
      <c r="F45" s="40">
        <v>25</v>
      </c>
      <c r="G45" s="40" t="s">
        <v>14</v>
      </c>
      <c r="H45" s="40" t="s">
        <v>1395</v>
      </c>
      <c r="I45" s="40" t="s">
        <v>37</v>
      </c>
      <c r="J45" s="40"/>
      <c r="K45" s="1"/>
      <c r="L45" s="1"/>
    </row>
    <row r="46" spans="1:12" x14ac:dyDescent="0.25">
      <c r="A46" s="40" t="s">
        <v>1431</v>
      </c>
      <c r="B46" s="40" t="s">
        <v>1432</v>
      </c>
      <c r="C46" s="41">
        <v>45533</v>
      </c>
      <c r="D46" s="74">
        <v>45545</v>
      </c>
      <c r="E46" s="52">
        <f t="shared" si="0"/>
        <v>13</v>
      </c>
      <c r="F46" s="40">
        <v>36</v>
      </c>
      <c r="G46" s="40" t="s">
        <v>14</v>
      </c>
      <c r="H46" s="40" t="s">
        <v>1433</v>
      </c>
      <c r="I46" s="40" t="s">
        <v>1469</v>
      </c>
      <c r="J46" s="67"/>
      <c r="K46" s="1"/>
      <c r="L46" s="1"/>
    </row>
    <row r="47" spans="1:12" x14ac:dyDescent="0.25">
      <c r="A47" s="40" t="s">
        <v>1434</v>
      </c>
      <c r="B47" s="40" t="s">
        <v>1435</v>
      </c>
      <c r="C47" s="41">
        <v>45533</v>
      </c>
      <c r="D47" s="41">
        <v>45561</v>
      </c>
      <c r="E47" s="52">
        <f t="shared" si="0"/>
        <v>29</v>
      </c>
      <c r="F47" s="40">
        <v>34</v>
      </c>
      <c r="G47" s="40" t="s">
        <v>14</v>
      </c>
      <c r="H47" s="40" t="s">
        <v>1436</v>
      </c>
      <c r="I47" s="40" t="s">
        <v>16</v>
      </c>
      <c r="J47" s="40"/>
      <c r="K47" s="1"/>
      <c r="L47" s="1"/>
    </row>
    <row r="48" spans="1:12" x14ac:dyDescent="0.25">
      <c r="A48" s="40" t="s">
        <v>1437</v>
      </c>
      <c r="B48" s="40" t="s">
        <v>1438</v>
      </c>
      <c r="C48" s="41">
        <v>45534</v>
      </c>
      <c r="D48" s="74">
        <v>45545</v>
      </c>
      <c r="E48" s="52">
        <f t="shared" si="0"/>
        <v>12</v>
      </c>
      <c r="F48" s="40">
        <v>47</v>
      </c>
      <c r="G48" s="40" t="s">
        <v>14</v>
      </c>
      <c r="H48" s="40" t="s">
        <v>1453</v>
      </c>
      <c r="I48" s="40" t="s">
        <v>1439</v>
      </c>
      <c r="J48" s="67"/>
      <c r="K48" s="1"/>
      <c r="L48" s="1"/>
    </row>
    <row r="49" spans="1:12" x14ac:dyDescent="0.25">
      <c r="A49" s="40" t="s">
        <v>1440</v>
      </c>
      <c r="B49" s="40" t="s">
        <v>1441</v>
      </c>
      <c r="C49" s="41">
        <v>45534</v>
      </c>
      <c r="D49" s="41">
        <v>45555</v>
      </c>
      <c r="E49" s="52">
        <f t="shared" si="0"/>
        <v>22</v>
      </c>
      <c r="F49" s="40">
        <v>40</v>
      </c>
      <c r="G49" s="40" t="s">
        <v>14</v>
      </c>
      <c r="H49" s="40" t="s">
        <v>1524</v>
      </c>
      <c r="I49" s="40" t="s">
        <v>1525</v>
      </c>
      <c r="J49" s="71"/>
      <c r="K49" s="1"/>
      <c r="L49" s="1"/>
    </row>
    <row r="50" spans="1:12" s="105" customFormat="1" x14ac:dyDescent="0.25">
      <c r="A50" s="101" t="s">
        <v>1442</v>
      </c>
      <c r="B50" s="101" t="s">
        <v>1443</v>
      </c>
      <c r="C50" s="102">
        <v>45535</v>
      </c>
      <c r="D50" s="102">
        <v>45539</v>
      </c>
      <c r="E50" s="103">
        <f t="shared" si="0"/>
        <v>5</v>
      </c>
      <c r="F50" s="101">
        <v>19</v>
      </c>
      <c r="G50" s="101" t="s">
        <v>12</v>
      </c>
      <c r="H50" s="101" t="s">
        <v>1444</v>
      </c>
      <c r="I50" s="101" t="s">
        <v>1080</v>
      </c>
      <c r="J50" s="101"/>
      <c r="K50" s="101"/>
      <c r="L50" s="101"/>
    </row>
    <row r="51" spans="1:12" s="19" customFormat="1" x14ac:dyDescent="0.25">
      <c r="A51" s="40" t="s">
        <v>1447</v>
      </c>
      <c r="B51" s="40" t="s">
        <v>42</v>
      </c>
      <c r="C51" s="41">
        <v>45519</v>
      </c>
      <c r="D51" s="41">
        <v>45523</v>
      </c>
      <c r="E51" s="52">
        <f t="shared" si="0"/>
        <v>5</v>
      </c>
      <c r="F51" s="40">
        <v>32</v>
      </c>
      <c r="G51" s="40" t="s">
        <v>12</v>
      </c>
      <c r="H51" s="40" t="s">
        <v>1448</v>
      </c>
      <c r="I51" s="75" t="s">
        <v>1449</v>
      </c>
      <c r="J51" s="40"/>
      <c r="K51" s="18"/>
      <c r="L51" s="18"/>
    </row>
    <row r="52" spans="1:12" s="56" customFormat="1" x14ac:dyDescent="0.25">
      <c r="A52" s="53" t="s">
        <v>1460</v>
      </c>
      <c r="B52" s="53" t="s">
        <v>1461</v>
      </c>
      <c r="C52" s="54">
        <v>45524</v>
      </c>
      <c r="D52" s="54">
        <v>45537</v>
      </c>
      <c r="E52" s="55">
        <f t="shared" si="0"/>
        <v>14</v>
      </c>
      <c r="F52" s="53">
        <v>44</v>
      </c>
      <c r="G52" s="53" t="s">
        <v>12</v>
      </c>
      <c r="H52" s="53" t="s">
        <v>1462</v>
      </c>
      <c r="I52" s="58" t="s">
        <v>145</v>
      </c>
      <c r="J52" s="53"/>
      <c r="K52" s="53"/>
      <c r="L52" s="53"/>
    </row>
    <row r="53" spans="1:12" x14ac:dyDescent="0.25">
      <c r="A53" s="40" t="s">
        <v>1463</v>
      </c>
      <c r="B53" s="40" t="s">
        <v>1464</v>
      </c>
      <c r="C53" s="41">
        <v>45518</v>
      </c>
      <c r="D53" s="41">
        <v>45520</v>
      </c>
      <c r="E53" s="52">
        <f t="shared" si="0"/>
        <v>3</v>
      </c>
      <c r="F53" s="40">
        <v>45</v>
      </c>
      <c r="G53" s="40" t="s">
        <v>12</v>
      </c>
      <c r="H53" s="40" t="s">
        <v>1328</v>
      </c>
      <c r="I53" s="40" t="s">
        <v>1465</v>
      </c>
      <c r="J53" s="40"/>
      <c r="K53" s="1"/>
      <c r="L53" s="1"/>
    </row>
    <row r="54" spans="1:12" x14ac:dyDescent="0.25">
      <c r="A54" s="40"/>
      <c r="B54" s="40"/>
      <c r="C54" s="41"/>
      <c r="D54" s="48"/>
      <c r="E54" s="52">
        <f t="shared" si="0"/>
        <v>1</v>
      </c>
      <c r="F54" s="40"/>
      <c r="G54" s="40"/>
      <c r="H54" s="40"/>
      <c r="I54" s="40"/>
      <c r="J54" s="67"/>
      <c r="K54" s="1"/>
      <c r="L54" s="1"/>
    </row>
    <row r="55" spans="1:12" x14ac:dyDescent="0.25">
      <c r="A55" s="40"/>
      <c r="B55" s="40"/>
      <c r="C55" s="41"/>
      <c r="D55" s="41"/>
      <c r="E55" s="52">
        <f t="shared" si="0"/>
        <v>1</v>
      </c>
      <c r="F55" s="40"/>
      <c r="G55" s="40"/>
      <c r="H55" s="40"/>
      <c r="I55" s="40"/>
      <c r="J55" s="40"/>
      <c r="K55" s="1"/>
      <c r="L55" s="1"/>
    </row>
    <row r="56" spans="1:12" x14ac:dyDescent="0.25">
      <c r="A56" s="40"/>
      <c r="B56" s="40"/>
      <c r="C56" s="41"/>
      <c r="D56" s="41"/>
      <c r="E56" s="52">
        <f t="shared" si="0"/>
        <v>1</v>
      </c>
      <c r="F56" s="40"/>
      <c r="G56" s="40"/>
      <c r="H56" s="40"/>
      <c r="I56" s="40"/>
      <c r="J56" s="40"/>
      <c r="K56" s="1"/>
      <c r="L56" s="1"/>
    </row>
    <row r="57" spans="1:12" x14ac:dyDescent="0.25">
      <c r="A57" s="40"/>
      <c r="B57" s="40"/>
      <c r="C57" s="41"/>
      <c r="D57" s="41"/>
      <c r="E57" s="52">
        <f t="shared" si="0"/>
        <v>1</v>
      </c>
      <c r="F57" s="40"/>
      <c r="G57" s="40"/>
      <c r="H57" s="40"/>
      <c r="I57" s="40"/>
      <c r="J57" s="40"/>
      <c r="K57" s="1"/>
      <c r="L57" s="1"/>
    </row>
    <row r="58" spans="1:12" s="19" customFormat="1" x14ac:dyDescent="0.25">
      <c r="A58" s="40"/>
      <c r="B58" s="40"/>
      <c r="C58" s="41"/>
      <c r="D58" s="41"/>
      <c r="E58" s="52">
        <f t="shared" si="0"/>
        <v>1</v>
      </c>
      <c r="F58" s="40"/>
      <c r="G58" s="40"/>
      <c r="H58" s="40"/>
      <c r="I58" s="66"/>
      <c r="J58" s="40"/>
      <c r="K58" s="18"/>
      <c r="L58" s="18"/>
    </row>
    <row r="59" spans="1:12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40"/>
      <c r="K59" s="1"/>
      <c r="L59" s="1"/>
    </row>
    <row r="60" spans="1:12" x14ac:dyDescent="0.25">
      <c r="A60" s="40"/>
      <c r="B60" s="40"/>
      <c r="C60" s="41"/>
      <c r="D60" s="41"/>
      <c r="E60" s="52">
        <f t="shared" si="0"/>
        <v>1</v>
      </c>
      <c r="F60" s="40"/>
      <c r="G60" s="40"/>
      <c r="H60" s="40"/>
      <c r="I60" s="40"/>
      <c r="J60" s="40"/>
      <c r="K60" s="1"/>
      <c r="L60" s="1"/>
    </row>
    <row r="61" spans="1:12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1"/>
      <c r="L61" s="1"/>
    </row>
    <row r="62" spans="1:12" x14ac:dyDescent="0.25">
      <c r="A62" s="40"/>
      <c r="B62" s="40"/>
      <c r="C62" s="41"/>
      <c r="D62" s="41"/>
      <c r="E62" s="52">
        <f t="shared" si="0"/>
        <v>1</v>
      </c>
      <c r="F62" s="40"/>
      <c r="G62" s="40"/>
      <c r="H62" s="40"/>
      <c r="I62" s="40"/>
      <c r="J62" s="40"/>
      <c r="K62" s="1"/>
      <c r="L62" s="1"/>
    </row>
    <row r="63" spans="1:12" x14ac:dyDescent="0.25">
      <c r="A63" s="40"/>
      <c r="B63" s="40"/>
      <c r="C63" s="41"/>
      <c r="D63" s="41"/>
      <c r="E63" s="52">
        <f t="shared" si="0"/>
        <v>1</v>
      </c>
      <c r="F63" s="40"/>
      <c r="G63" s="40"/>
      <c r="H63" s="40"/>
      <c r="I63" s="40"/>
      <c r="J63" s="40"/>
      <c r="K63" s="1"/>
      <c r="L63" s="1"/>
    </row>
    <row r="64" spans="1:12" s="19" customFormat="1" x14ac:dyDescent="0.25">
      <c r="A64" s="40"/>
      <c r="B64" s="40"/>
      <c r="C64" s="41"/>
      <c r="D64" s="48"/>
      <c r="E64" s="52">
        <f t="shared" si="0"/>
        <v>1</v>
      </c>
      <c r="F64" s="40"/>
      <c r="G64" s="40"/>
      <c r="H64" s="40"/>
      <c r="I64" s="66"/>
      <c r="J64" s="67"/>
      <c r="K64" s="18"/>
      <c r="L64" s="18"/>
    </row>
    <row r="65" spans="1:12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40"/>
      <c r="K65" s="1"/>
      <c r="L65" s="1"/>
    </row>
    <row r="66" spans="1:12" x14ac:dyDescent="0.25">
      <c r="A66" s="40"/>
      <c r="B66" s="40"/>
      <c r="C66" s="41"/>
      <c r="D66" s="41"/>
      <c r="E66" s="52">
        <f t="shared" ref="E66:E105" si="1">D66-C66+1</f>
        <v>1</v>
      </c>
      <c r="F66" s="40"/>
      <c r="G66" s="40"/>
      <c r="H66" s="40"/>
      <c r="I66" s="40"/>
      <c r="J66" s="40"/>
      <c r="K66" s="1"/>
      <c r="L66" s="1"/>
    </row>
    <row r="67" spans="1:12" x14ac:dyDescent="0.25">
      <c r="A67" s="40"/>
      <c r="B67" s="40"/>
      <c r="C67" s="41"/>
      <c r="D67" s="41"/>
      <c r="E67" s="52">
        <f t="shared" si="1"/>
        <v>1</v>
      </c>
      <c r="F67" s="40"/>
      <c r="G67" s="40"/>
      <c r="H67" s="40"/>
      <c r="I67" s="40"/>
      <c r="J67" s="40"/>
      <c r="K67" s="1"/>
      <c r="L67" s="1"/>
    </row>
    <row r="68" spans="1:12" x14ac:dyDescent="0.25">
      <c r="A68" s="1"/>
      <c r="B68" s="1"/>
      <c r="C68" s="1"/>
      <c r="D68" s="1"/>
      <c r="E68" s="52">
        <f t="shared" si="1"/>
        <v>1</v>
      </c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52">
        <f t="shared" si="1"/>
        <v>1</v>
      </c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52">
        <f t="shared" si="1"/>
        <v>1</v>
      </c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52">
        <f t="shared" si="1"/>
        <v>1</v>
      </c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4"/>
      <c r="E72" s="52">
        <f t="shared" si="1"/>
        <v>1</v>
      </c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52">
        <f t="shared" si="1"/>
        <v>1</v>
      </c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52">
        <f t="shared" si="1"/>
        <v>1</v>
      </c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52">
        <f t="shared" si="1"/>
        <v>1</v>
      </c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52">
        <f t="shared" si="1"/>
        <v>1</v>
      </c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52">
        <f t="shared" si="1"/>
        <v>1</v>
      </c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4"/>
      <c r="E78" s="52">
        <f t="shared" si="1"/>
        <v>1</v>
      </c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4"/>
      <c r="E79" s="52">
        <f t="shared" si="1"/>
        <v>1</v>
      </c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52">
        <f t="shared" si="1"/>
        <v>1</v>
      </c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52">
        <f t="shared" si="1"/>
        <v>1</v>
      </c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1"/>
      <c r="E82" s="52">
        <f t="shared" si="1"/>
        <v>1</v>
      </c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/>
      <c r="E83" s="52">
        <f t="shared" si="1"/>
        <v>1</v>
      </c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52">
        <f t="shared" si="1"/>
        <v>1</v>
      </c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52">
        <f t="shared" si="1"/>
        <v>1</v>
      </c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52">
        <f t="shared" si="1"/>
        <v>1</v>
      </c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52">
        <f t="shared" si="1"/>
        <v>1</v>
      </c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52">
        <f t="shared" si="1"/>
        <v>1</v>
      </c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4"/>
      <c r="E89" s="52">
        <f t="shared" si="1"/>
        <v>1</v>
      </c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52">
        <f t="shared" si="1"/>
        <v>1</v>
      </c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52">
        <f t="shared" si="1"/>
        <v>1</v>
      </c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4"/>
      <c r="E92" s="52">
        <f t="shared" si="1"/>
        <v>1</v>
      </c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52">
        <f t="shared" si="1"/>
        <v>1</v>
      </c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52">
        <f t="shared" si="1"/>
        <v>1</v>
      </c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52">
        <f t="shared" si="1"/>
        <v>1</v>
      </c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52">
        <f t="shared" si="1"/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/>
      <c r="E97" s="52">
        <f t="shared" si="1"/>
        <v>1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52">
        <f t="shared" si="1"/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52">
        <f t="shared" si="1"/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52">
        <f t="shared" si="1"/>
        <v>1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52">
        <f t="shared" si="1"/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52">
        <f t="shared" si="1"/>
        <v>1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52">
        <f t="shared" si="1"/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52">
        <f t="shared" si="1"/>
        <v>1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52">
        <f t="shared" si="1"/>
        <v>1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tabSelected="1" topLeftCell="A31" workbookViewId="0">
      <selection activeCell="J49" sqref="J49"/>
    </sheetView>
  </sheetViews>
  <sheetFormatPr baseColWidth="10" defaultRowHeight="15" x14ac:dyDescent="0.25"/>
  <cols>
    <col min="1" max="1" width="14.85546875" customWidth="1"/>
    <col min="2" max="2" width="32.28515625" customWidth="1"/>
    <col min="3" max="3" width="13.5703125" customWidth="1"/>
    <col min="4" max="4" width="12.7109375" customWidth="1"/>
    <col min="5" max="5" width="14.42578125" customWidth="1"/>
    <col min="6" max="6" width="5.85546875" customWidth="1"/>
    <col min="7" max="7" width="6.28515625" customWidth="1"/>
    <col min="8" max="8" width="37.28515625" customWidth="1"/>
    <col min="9" max="9" width="28.42578125" customWidth="1"/>
    <col min="10" max="10" width="14" customWidth="1"/>
    <col min="11" max="11" width="14.140625" customWidth="1"/>
  </cols>
  <sheetData>
    <row r="1" spans="1:12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2" x14ac:dyDescent="0.25">
      <c r="A2" s="40" t="s">
        <v>1454</v>
      </c>
      <c r="B2" s="40" t="s">
        <v>1515</v>
      </c>
      <c r="C2" s="41">
        <v>45536</v>
      </c>
      <c r="D2" s="48">
        <v>45544</v>
      </c>
      <c r="E2" s="52">
        <f t="shared" ref="E2:E65" si="0">D2-C2+1</f>
        <v>9</v>
      </c>
      <c r="F2" s="40">
        <v>35</v>
      </c>
      <c r="G2" s="40" t="s">
        <v>14</v>
      </c>
      <c r="H2" s="40" t="s">
        <v>1516</v>
      </c>
      <c r="I2" s="75" t="s">
        <v>20</v>
      </c>
      <c r="J2" s="67" t="s">
        <v>13</v>
      </c>
      <c r="K2" s="40"/>
      <c r="L2" s="1"/>
    </row>
    <row r="3" spans="1:12" s="105" customFormat="1" x14ac:dyDescent="0.25">
      <c r="A3" s="101" t="s">
        <v>1455</v>
      </c>
      <c r="B3" s="101" t="s">
        <v>1456</v>
      </c>
      <c r="C3" s="102">
        <v>45537</v>
      </c>
      <c r="D3" s="102">
        <v>45540</v>
      </c>
      <c r="E3" s="52">
        <f t="shared" si="0"/>
        <v>4</v>
      </c>
      <c r="F3" s="101">
        <v>45</v>
      </c>
      <c r="G3" s="101" t="s">
        <v>12</v>
      </c>
      <c r="H3" s="101" t="s">
        <v>1457</v>
      </c>
      <c r="I3" s="112" t="s">
        <v>1458</v>
      </c>
      <c r="J3" s="112" t="s">
        <v>320</v>
      </c>
      <c r="K3" s="101"/>
      <c r="L3" s="101"/>
    </row>
    <row r="4" spans="1:12" x14ac:dyDescent="0.25">
      <c r="A4" s="40" t="s">
        <v>1474</v>
      </c>
      <c r="B4" s="40" t="s">
        <v>1475</v>
      </c>
      <c r="C4" s="41">
        <v>45537</v>
      </c>
      <c r="D4" s="74">
        <v>45544</v>
      </c>
      <c r="E4" s="52">
        <f t="shared" si="0"/>
        <v>8</v>
      </c>
      <c r="F4" s="40">
        <v>35</v>
      </c>
      <c r="G4" s="40" t="s">
        <v>14</v>
      </c>
      <c r="H4" s="40" t="s">
        <v>1476</v>
      </c>
      <c r="I4" s="40" t="s">
        <v>37</v>
      </c>
      <c r="J4" s="67"/>
      <c r="K4" s="40"/>
      <c r="L4" s="1"/>
    </row>
    <row r="5" spans="1:12" x14ac:dyDescent="0.25">
      <c r="A5" s="40" t="s">
        <v>1509</v>
      </c>
      <c r="B5" s="40" t="s">
        <v>1510</v>
      </c>
      <c r="C5" s="41">
        <v>45538</v>
      </c>
      <c r="D5" s="41">
        <v>45544</v>
      </c>
      <c r="E5" s="52">
        <f t="shared" si="0"/>
        <v>7</v>
      </c>
      <c r="F5" s="40">
        <v>54</v>
      </c>
      <c r="G5" s="40" t="s">
        <v>12</v>
      </c>
      <c r="H5" s="40" t="s">
        <v>1511</v>
      </c>
      <c r="I5" s="40" t="s">
        <v>1161</v>
      </c>
      <c r="J5" s="40"/>
      <c r="K5" s="40"/>
      <c r="L5" s="1"/>
    </row>
    <row r="6" spans="1:12" x14ac:dyDescent="0.25">
      <c r="A6" s="40" t="s">
        <v>1559</v>
      </c>
      <c r="B6" s="40" t="s">
        <v>1560</v>
      </c>
      <c r="C6" s="41">
        <v>45539</v>
      </c>
      <c r="D6" s="74">
        <v>45560</v>
      </c>
      <c r="E6" s="52">
        <f t="shared" si="0"/>
        <v>22</v>
      </c>
      <c r="F6" s="40">
        <v>62</v>
      </c>
      <c r="G6" s="40" t="s">
        <v>14</v>
      </c>
      <c r="H6" s="40" t="s">
        <v>1561</v>
      </c>
      <c r="I6" s="40" t="s">
        <v>1201</v>
      </c>
      <c r="J6" s="67"/>
      <c r="K6" s="40"/>
      <c r="L6" s="1"/>
    </row>
    <row r="7" spans="1:12" x14ac:dyDescent="0.25">
      <c r="A7" s="40" t="s">
        <v>1492</v>
      </c>
      <c r="B7" s="40" t="s">
        <v>1493</v>
      </c>
      <c r="C7" s="41">
        <v>45539</v>
      </c>
      <c r="D7" s="74">
        <v>45546</v>
      </c>
      <c r="E7" s="52">
        <f t="shared" si="0"/>
        <v>8</v>
      </c>
      <c r="F7" s="40">
        <v>18</v>
      </c>
      <c r="G7" s="40" t="s">
        <v>12</v>
      </c>
      <c r="H7" s="40" t="s">
        <v>1494</v>
      </c>
      <c r="I7" s="40" t="s">
        <v>1495</v>
      </c>
      <c r="J7" s="67"/>
      <c r="K7" s="40"/>
      <c r="L7" s="1"/>
    </row>
    <row r="8" spans="1:12" x14ac:dyDescent="0.25">
      <c r="A8" s="40" t="s">
        <v>1466</v>
      </c>
      <c r="B8" s="40" t="s">
        <v>1467</v>
      </c>
      <c r="C8" s="41">
        <v>45539</v>
      </c>
      <c r="D8" s="41">
        <v>45548</v>
      </c>
      <c r="E8" s="52">
        <f t="shared" si="0"/>
        <v>10</v>
      </c>
      <c r="F8" s="40">
        <v>49</v>
      </c>
      <c r="G8" s="40" t="s">
        <v>14</v>
      </c>
      <c r="H8" s="40" t="s">
        <v>1468</v>
      </c>
      <c r="I8" s="40" t="s">
        <v>298</v>
      </c>
      <c r="J8" s="40"/>
      <c r="K8" s="40"/>
      <c r="L8" s="1"/>
    </row>
    <row r="9" spans="1:12" x14ac:dyDescent="0.25">
      <c r="A9" s="40" t="s">
        <v>1512</v>
      </c>
      <c r="B9" s="40" t="s">
        <v>1513</v>
      </c>
      <c r="C9" s="41">
        <v>45562</v>
      </c>
      <c r="D9" s="48">
        <v>45550</v>
      </c>
      <c r="E9" s="52">
        <f t="shared" si="0"/>
        <v>-11</v>
      </c>
      <c r="F9" s="40">
        <v>45</v>
      </c>
      <c r="G9" s="40" t="s">
        <v>12</v>
      </c>
      <c r="H9" s="40" t="s">
        <v>1514</v>
      </c>
      <c r="I9" s="75" t="s">
        <v>21</v>
      </c>
      <c r="J9" s="67" t="s">
        <v>13</v>
      </c>
      <c r="K9" s="40"/>
      <c r="L9" s="1"/>
    </row>
    <row r="10" spans="1:12" x14ac:dyDescent="0.25">
      <c r="A10" s="40" t="s">
        <v>1496</v>
      </c>
      <c r="B10" s="40" t="s">
        <v>1497</v>
      </c>
      <c r="C10" s="41">
        <v>45541</v>
      </c>
      <c r="D10" s="41">
        <v>45555</v>
      </c>
      <c r="E10" s="52">
        <f t="shared" si="0"/>
        <v>15</v>
      </c>
      <c r="F10" s="40">
        <v>72</v>
      </c>
      <c r="G10" s="40" t="s">
        <v>14</v>
      </c>
      <c r="H10" s="40" t="s">
        <v>1498</v>
      </c>
      <c r="I10" s="40" t="s">
        <v>1499</v>
      </c>
      <c r="J10" s="40"/>
      <c r="K10" s="40"/>
      <c r="L10" s="1"/>
    </row>
    <row r="11" spans="1:12" x14ac:dyDescent="0.25">
      <c r="A11" s="40" t="s">
        <v>1501</v>
      </c>
      <c r="B11" s="40" t="s">
        <v>1502</v>
      </c>
      <c r="C11" s="41">
        <v>45543</v>
      </c>
      <c r="D11" s="41">
        <v>45546</v>
      </c>
      <c r="E11" s="52">
        <f t="shared" si="0"/>
        <v>4</v>
      </c>
      <c r="F11" s="40">
        <v>24</v>
      </c>
      <c r="G11" s="40" t="s">
        <v>14</v>
      </c>
      <c r="H11" s="40" t="s">
        <v>1503</v>
      </c>
      <c r="I11" s="40" t="s">
        <v>1504</v>
      </c>
      <c r="J11" s="40"/>
      <c r="K11" s="40"/>
      <c r="L11" s="1"/>
    </row>
    <row r="12" spans="1:12" x14ac:dyDescent="0.25">
      <c r="A12" s="40" t="s">
        <v>1595</v>
      </c>
      <c r="B12" s="40" t="s">
        <v>1596</v>
      </c>
      <c r="C12" s="41">
        <v>45544</v>
      </c>
      <c r="D12" s="41"/>
      <c r="E12" s="52">
        <f t="shared" si="0"/>
        <v>-45543</v>
      </c>
      <c r="F12" s="40">
        <v>42</v>
      </c>
      <c r="G12" s="40" t="s">
        <v>12</v>
      </c>
      <c r="H12" s="40" t="s">
        <v>1597</v>
      </c>
      <c r="I12" s="40" t="s">
        <v>1598</v>
      </c>
      <c r="J12" s="40"/>
      <c r="K12" s="40"/>
      <c r="L12" s="1"/>
    </row>
    <row r="13" spans="1:12" x14ac:dyDescent="0.25">
      <c r="A13" s="40" t="s">
        <v>1488</v>
      </c>
      <c r="B13" s="40" t="s">
        <v>83</v>
      </c>
      <c r="C13" s="41">
        <v>45544</v>
      </c>
      <c r="D13" s="41">
        <v>45548</v>
      </c>
      <c r="E13" s="52">
        <f t="shared" si="0"/>
        <v>5</v>
      </c>
      <c r="F13" s="40">
        <v>15</v>
      </c>
      <c r="G13" s="40" t="s">
        <v>14</v>
      </c>
      <c r="H13" s="68" t="s">
        <v>1489</v>
      </c>
      <c r="I13" s="40" t="s">
        <v>1490</v>
      </c>
      <c r="J13" s="67"/>
      <c r="K13" s="40"/>
      <c r="L13" s="1"/>
    </row>
    <row r="14" spans="1:12" s="19" customFormat="1" x14ac:dyDescent="0.25">
      <c r="A14" s="40" t="s">
        <v>1470</v>
      </c>
      <c r="B14" s="40" t="s">
        <v>1471</v>
      </c>
      <c r="C14" s="41">
        <v>45544</v>
      </c>
      <c r="D14" s="41">
        <v>45548</v>
      </c>
      <c r="E14" s="52">
        <f t="shared" si="0"/>
        <v>5</v>
      </c>
      <c r="F14" s="40">
        <v>70</v>
      </c>
      <c r="G14" s="40" t="s">
        <v>14</v>
      </c>
      <c r="H14" s="40" t="s">
        <v>1472</v>
      </c>
      <c r="I14" s="75" t="s">
        <v>1473</v>
      </c>
      <c r="J14" s="40"/>
      <c r="K14" s="40"/>
      <c r="L14" s="18"/>
    </row>
    <row r="15" spans="1:12" s="105" customFormat="1" x14ac:dyDescent="0.25">
      <c r="A15" s="101" t="s">
        <v>1487</v>
      </c>
      <c r="B15" s="101" t="s">
        <v>1484</v>
      </c>
      <c r="C15" s="102">
        <v>45546</v>
      </c>
      <c r="D15" s="102">
        <v>45548</v>
      </c>
      <c r="E15" s="103">
        <f t="shared" si="0"/>
        <v>3</v>
      </c>
      <c r="F15" s="101">
        <v>66</v>
      </c>
      <c r="G15" s="101" t="s">
        <v>14</v>
      </c>
      <c r="H15" s="101" t="s">
        <v>1485</v>
      </c>
      <c r="I15" s="101" t="s">
        <v>1486</v>
      </c>
      <c r="J15" s="101"/>
      <c r="K15" s="101"/>
      <c r="L15" s="101"/>
    </row>
    <row r="16" spans="1:12" x14ac:dyDescent="0.25">
      <c r="A16" s="40" t="s">
        <v>1591</v>
      </c>
      <c r="B16" s="40" t="s">
        <v>1477</v>
      </c>
      <c r="C16" s="41">
        <v>45545</v>
      </c>
      <c r="D16" s="74">
        <v>45553</v>
      </c>
      <c r="E16" s="52">
        <f t="shared" si="0"/>
        <v>9</v>
      </c>
      <c r="F16" s="40">
        <v>39</v>
      </c>
      <c r="G16" s="40" t="s">
        <v>14</v>
      </c>
      <c r="H16" s="40" t="s">
        <v>1478</v>
      </c>
      <c r="I16" s="40" t="s">
        <v>1479</v>
      </c>
      <c r="J16" s="67"/>
      <c r="K16" s="40"/>
      <c r="L16" s="1"/>
    </row>
    <row r="17" spans="1:12" x14ac:dyDescent="0.25">
      <c r="A17" s="40" t="s">
        <v>1526</v>
      </c>
      <c r="B17" s="40" t="s">
        <v>1527</v>
      </c>
      <c r="C17" s="41">
        <v>45548</v>
      </c>
      <c r="D17" s="74">
        <v>45559</v>
      </c>
      <c r="E17" s="52">
        <f t="shared" si="0"/>
        <v>12</v>
      </c>
      <c r="F17" s="40">
        <v>56</v>
      </c>
      <c r="G17" s="40" t="s">
        <v>12</v>
      </c>
      <c r="H17" s="40" t="s">
        <v>1528</v>
      </c>
      <c r="I17" s="40" t="s">
        <v>1529</v>
      </c>
      <c r="J17" s="67"/>
      <c r="K17" s="40"/>
      <c r="L17" s="1"/>
    </row>
    <row r="18" spans="1:12" s="19" customFormat="1" x14ac:dyDescent="0.25">
      <c r="A18" s="40" t="s">
        <v>1521</v>
      </c>
      <c r="B18" s="40" t="s">
        <v>1522</v>
      </c>
      <c r="C18" s="41">
        <v>45548</v>
      </c>
      <c r="D18" s="74">
        <v>45558</v>
      </c>
      <c r="E18" s="52">
        <f t="shared" si="0"/>
        <v>11</v>
      </c>
      <c r="F18" s="40">
        <v>21</v>
      </c>
      <c r="G18" s="40" t="s">
        <v>14</v>
      </c>
      <c r="H18" s="40" t="s">
        <v>1523</v>
      </c>
      <c r="I18" s="75" t="s">
        <v>35</v>
      </c>
      <c r="J18" s="67"/>
      <c r="K18" s="40"/>
      <c r="L18" s="18"/>
    </row>
    <row r="19" spans="1:12" s="105" customFormat="1" x14ac:dyDescent="0.25">
      <c r="A19" s="101" t="s">
        <v>1480</v>
      </c>
      <c r="B19" s="101" t="s">
        <v>1481</v>
      </c>
      <c r="C19" s="102">
        <v>45548</v>
      </c>
      <c r="D19" s="102">
        <v>45552</v>
      </c>
      <c r="E19" s="103">
        <f t="shared" si="0"/>
        <v>5</v>
      </c>
      <c r="F19" s="101">
        <v>24</v>
      </c>
      <c r="G19" s="101" t="s">
        <v>12</v>
      </c>
      <c r="H19" s="101" t="s">
        <v>1482</v>
      </c>
      <c r="I19" s="101" t="s">
        <v>1483</v>
      </c>
      <c r="J19" s="101"/>
      <c r="K19" s="101"/>
      <c r="L19" s="101"/>
    </row>
    <row r="20" spans="1:12" x14ac:dyDescent="0.25">
      <c r="A20" s="40" t="s">
        <v>1505</v>
      </c>
      <c r="B20" s="40" t="s">
        <v>1506</v>
      </c>
      <c r="C20" s="41">
        <v>45549</v>
      </c>
      <c r="D20" s="41">
        <v>45523</v>
      </c>
      <c r="E20" s="52">
        <f t="shared" si="0"/>
        <v>-25</v>
      </c>
      <c r="F20" s="40">
        <v>26</v>
      </c>
      <c r="G20" s="40" t="s">
        <v>12</v>
      </c>
      <c r="H20" s="40" t="s">
        <v>1507</v>
      </c>
      <c r="I20" s="40" t="s">
        <v>1508</v>
      </c>
      <c r="J20" s="71"/>
      <c r="K20" s="40"/>
      <c r="L20" s="1"/>
    </row>
    <row r="21" spans="1:12" x14ac:dyDescent="0.25">
      <c r="A21" s="40" t="s">
        <v>1599</v>
      </c>
      <c r="B21" s="40" t="s">
        <v>1600</v>
      </c>
      <c r="C21" s="41">
        <v>45551</v>
      </c>
      <c r="D21" s="41">
        <v>45604</v>
      </c>
      <c r="E21" s="52">
        <f t="shared" si="0"/>
        <v>54</v>
      </c>
      <c r="F21" s="40">
        <v>27</v>
      </c>
      <c r="G21" s="40" t="s">
        <v>12</v>
      </c>
      <c r="H21" s="40" t="s">
        <v>1601</v>
      </c>
      <c r="I21" s="40" t="s">
        <v>1339</v>
      </c>
      <c r="J21" s="40"/>
      <c r="K21" s="40"/>
      <c r="L21" s="1"/>
    </row>
    <row r="22" spans="1:12" x14ac:dyDescent="0.25">
      <c r="A22" s="40" t="s">
        <v>1603</v>
      </c>
      <c r="B22" s="40" t="s">
        <v>1604</v>
      </c>
      <c r="C22" s="41">
        <v>45552</v>
      </c>
      <c r="D22" s="41">
        <v>45577</v>
      </c>
      <c r="E22" s="52">
        <f t="shared" si="0"/>
        <v>26</v>
      </c>
      <c r="F22" s="40">
        <v>88</v>
      </c>
      <c r="G22" s="40" t="s">
        <v>14</v>
      </c>
      <c r="H22" s="40" t="s">
        <v>1605</v>
      </c>
      <c r="I22" s="40" t="s">
        <v>1727</v>
      </c>
      <c r="J22" s="40"/>
      <c r="K22" s="40"/>
      <c r="L22" s="1"/>
    </row>
    <row r="23" spans="1:12" x14ac:dyDescent="0.25">
      <c r="A23" s="40" t="s">
        <v>1540</v>
      </c>
      <c r="B23" s="40" t="s">
        <v>1541</v>
      </c>
      <c r="C23" s="41">
        <v>45552</v>
      </c>
      <c r="D23" s="41">
        <v>45569</v>
      </c>
      <c r="E23" s="52">
        <f t="shared" si="0"/>
        <v>18</v>
      </c>
      <c r="F23" s="40">
        <v>63</v>
      </c>
      <c r="G23" s="40" t="s">
        <v>12</v>
      </c>
      <c r="H23" s="40" t="s">
        <v>1542</v>
      </c>
      <c r="I23" s="40" t="s">
        <v>1543</v>
      </c>
      <c r="J23" s="40"/>
      <c r="K23" s="40"/>
      <c r="L23" s="1"/>
    </row>
    <row r="24" spans="1:12" x14ac:dyDescent="0.25">
      <c r="A24" s="40" t="s">
        <v>1548</v>
      </c>
      <c r="B24" s="40" t="s">
        <v>30</v>
      </c>
      <c r="C24" s="41">
        <v>45552</v>
      </c>
      <c r="D24" s="74">
        <v>45565</v>
      </c>
      <c r="E24" s="52">
        <f t="shared" si="0"/>
        <v>14</v>
      </c>
      <c r="F24" s="40">
        <v>68</v>
      </c>
      <c r="G24" s="40" t="s">
        <v>12</v>
      </c>
      <c r="H24" s="40" t="s">
        <v>1549</v>
      </c>
      <c r="I24" s="40" t="s">
        <v>1602</v>
      </c>
      <c r="J24" s="71" t="s">
        <v>45</v>
      </c>
      <c r="K24" s="40"/>
      <c r="L24" s="1"/>
    </row>
    <row r="25" spans="1:12" x14ac:dyDescent="0.25">
      <c r="A25" s="40" t="s">
        <v>1606</v>
      </c>
      <c r="B25" s="40" t="s">
        <v>1607</v>
      </c>
      <c r="C25" s="41">
        <v>45552</v>
      </c>
      <c r="D25" s="74">
        <v>45576</v>
      </c>
      <c r="E25" s="52">
        <f t="shared" si="0"/>
        <v>25</v>
      </c>
      <c r="F25" s="40">
        <v>66</v>
      </c>
      <c r="G25" s="40" t="s">
        <v>12</v>
      </c>
      <c r="H25" s="40" t="s">
        <v>1608</v>
      </c>
      <c r="I25" s="40" t="s">
        <v>1201</v>
      </c>
      <c r="J25" s="67"/>
      <c r="K25" s="40"/>
      <c r="L25" s="1"/>
    </row>
    <row r="26" spans="1:12" x14ac:dyDescent="0.25">
      <c r="A26" s="40" t="s">
        <v>1576</v>
      </c>
      <c r="B26" s="40" t="s">
        <v>1577</v>
      </c>
      <c r="C26" s="41">
        <v>45553</v>
      </c>
      <c r="D26" s="48">
        <v>45568</v>
      </c>
      <c r="E26" s="52">
        <f t="shared" si="0"/>
        <v>16</v>
      </c>
      <c r="F26" s="40">
        <v>87</v>
      </c>
      <c r="G26" s="40" t="s">
        <v>14</v>
      </c>
      <c r="H26" s="40" t="s">
        <v>1578</v>
      </c>
      <c r="I26" s="40" t="s">
        <v>1579</v>
      </c>
      <c r="J26" s="67" t="s">
        <v>13</v>
      </c>
      <c r="K26" s="40"/>
      <c r="L26" s="1"/>
    </row>
    <row r="27" spans="1:12" x14ac:dyDescent="0.25">
      <c r="A27" s="40" t="s">
        <v>1569</v>
      </c>
      <c r="B27" s="40" t="s">
        <v>1570</v>
      </c>
      <c r="C27" s="41">
        <v>45553</v>
      </c>
      <c r="D27" s="41">
        <v>45560</v>
      </c>
      <c r="E27" s="52">
        <f t="shared" si="0"/>
        <v>8</v>
      </c>
      <c r="F27" s="40">
        <v>73</v>
      </c>
      <c r="G27" s="40" t="s">
        <v>12</v>
      </c>
      <c r="H27" s="40" t="s">
        <v>1571</v>
      </c>
      <c r="I27" s="40" t="s">
        <v>1572</v>
      </c>
      <c r="J27" s="40"/>
      <c r="K27" s="40"/>
      <c r="L27" s="1"/>
    </row>
    <row r="28" spans="1:12" x14ac:dyDescent="0.25">
      <c r="A28" s="40" t="s">
        <v>1609</v>
      </c>
      <c r="B28" s="40" t="s">
        <v>50</v>
      </c>
      <c r="C28" s="41">
        <v>45554</v>
      </c>
      <c r="D28" s="48"/>
      <c r="E28" s="52">
        <f t="shared" si="0"/>
        <v>-45553</v>
      </c>
      <c r="F28" s="40">
        <v>41</v>
      </c>
      <c r="G28" s="40" t="s">
        <v>12</v>
      </c>
      <c r="H28" s="40" t="s">
        <v>1610</v>
      </c>
      <c r="I28" s="40" t="s">
        <v>20</v>
      </c>
      <c r="J28" s="67"/>
      <c r="K28" s="40"/>
      <c r="L28" s="1"/>
    </row>
    <row r="29" spans="1:12" x14ac:dyDescent="0.25">
      <c r="A29" s="40" t="s">
        <v>1537</v>
      </c>
      <c r="B29" s="40" t="s">
        <v>1538</v>
      </c>
      <c r="C29" s="41">
        <v>45554</v>
      </c>
      <c r="D29" s="41">
        <v>45569</v>
      </c>
      <c r="E29" s="52">
        <f t="shared" si="0"/>
        <v>16</v>
      </c>
      <c r="F29" s="40">
        <v>34</v>
      </c>
      <c r="G29" s="40" t="s">
        <v>14</v>
      </c>
      <c r="H29" s="40" t="s">
        <v>1539</v>
      </c>
      <c r="I29" s="40" t="s">
        <v>1201</v>
      </c>
      <c r="J29" s="40"/>
      <c r="K29" s="40"/>
      <c r="L29" s="1"/>
    </row>
    <row r="30" spans="1:12" s="65" customFormat="1" x14ac:dyDescent="0.25">
      <c r="A30" s="60" t="s">
        <v>1566</v>
      </c>
      <c r="B30" s="60" t="s">
        <v>1567</v>
      </c>
      <c r="C30" s="61">
        <v>45554</v>
      </c>
      <c r="D30" s="62">
        <v>45555</v>
      </c>
      <c r="E30" s="63">
        <f t="shared" si="0"/>
        <v>2</v>
      </c>
      <c r="F30" s="60">
        <v>42</v>
      </c>
      <c r="G30" s="60" t="s">
        <v>12</v>
      </c>
      <c r="H30" s="60" t="s">
        <v>1568</v>
      </c>
      <c r="I30" s="77" t="s">
        <v>965</v>
      </c>
      <c r="J30" s="77"/>
      <c r="K30" s="60"/>
      <c r="L30" s="60"/>
    </row>
    <row r="31" spans="1:12" x14ac:dyDescent="0.25">
      <c r="A31" s="40" t="s">
        <v>1611</v>
      </c>
      <c r="B31" s="40" t="s">
        <v>1612</v>
      </c>
      <c r="C31" s="41">
        <v>45555</v>
      </c>
      <c r="D31" s="41">
        <v>45580</v>
      </c>
      <c r="E31" s="52">
        <f t="shared" si="0"/>
        <v>26</v>
      </c>
      <c r="F31" s="40">
        <v>42</v>
      </c>
      <c r="G31" s="40" t="s">
        <v>12</v>
      </c>
      <c r="H31" s="40" t="s">
        <v>1613</v>
      </c>
      <c r="I31" s="40" t="s">
        <v>1649</v>
      </c>
      <c r="J31" s="40"/>
      <c r="K31" s="40"/>
      <c r="L31" s="1"/>
    </row>
    <row r="32" spans="1:12" x14ac:dyDescent="0.25">
      <c r="A32" s="40" t="s">
        <v>1550</v>
      </c>
      <c r="B32" s="40" t="s">
        <v>1551</v>
      </c>
      <c r="C32" s="41">
        <v>45555</v>
      </c>
      <c r="D32" s="74">
        <v>45565</v>
      </c>
      <c r="E32" s="52">
        <f t="shared" si="0"/>
        <v>11</v>
      </c>
      <c r="F32" s="40">
        <v>16</v>
      </c>
      <c r="G32" s="40" t="s">
        <v>14</v>
      </c>
      <c r="H32" s="40" t="s">
        <v>1552</v>
      </c>
      <c r="I32" s="75" t="s">
        <v>454</v>
      </c>
      <c r="J32" s="67"/>
      <c r="K32" s="40"/>
      <c r="L32" s="1"/>
    </row>
    <row r="33" spans="1:12" x14ac:dyDescent="0.25">
      <c r="A33" s="40" t="s">
        <v>1555</v>
      </c>
      <c r="B33" s="40" t="s">
        <v>1556</v>
      </c>
      <c r="C33" s="41">
        <v>45557</v>
      </c>
      <c r="D33" s="48">
        <v>45568</v>
      </c>
      <c r="E33" s="52">
        <f t="shared" si="0"/>
        <v>12</v>
      </c>
      <c r="F33" s="40">
        <v>72</v>
      </c>
      <c r="G33" s="40" t="s">
        <v>12</v>
      </c>
      <c r="H33" s="40" t="s">
        <v>1557</v>
      </c>
      <c r="I33" s="40" t="s">
        <v>1558</v>
      </c>
      <c r="J33" s="67" t="s">
        <v>13</v>
      </c>
      <c r="K33" s="40"/>
      <c r="L33" s="1"/>
    </row>
    <row r="34" spans="1:12" s="19" customFormat="1" x14ac:dyDescent="0.25">
      <c r="A34" s="40" t="s">
        <v>1544</v>
      </c>
      <c r="B34" s="40" t="s">
        <v>1545</v>
      </c>
      <c r="C34" s="41">
        <v>45557</v>
      </c>
      <c r="D34" s="41">
        <v>45566</v>
      </c>
      <c r="E34" s="52">
        <f t="shared" si="0"/>
        <v>10</v>
      </c>
      <c r="F34" s="40">
        <v>38</v>
      </c>
      <c r="G34" s="40" t="s">
        <v>12</v>
      </c>
      <c r="H34" s="40" t="s">
        <v>1546</v>
      </c>
      <c r="I34" s="75" t="s">
        <v>1547</v>
      </c>
      <c r="J34" s="40"/>
      <c r="K34" s="40"/>
      <c r="L34" s="18"/>
    </row>
    <row r="35" spans="1:12" x14ac:dyDescent="0.25">
      <c r="A35" s="40" t="s">
        <v>1517</v>
      </c>
      <c r="B35" s="40" t="s">
        <v>1518</v>
      </c>
      <c r="C35" s="41">
        <v>45558</v>
      </c>
      <c r="D35" s="48">
        <v>45560</v>
      </c>
      <c r="E35" s="52">
        <f t="shared" si="0"/>
        <v>3</v>
      </c>
      <c r="F35" s="40">
        <v>50</v>
      </c>
      <c r="G35" s="40" t="s">
        <v>14</v>
      </c>
      <c r="H35" s="40" t="s">
        <v>1519</v>
      </c>
      <c r="I35" s="40" t="s">
        <v>1520</v>
      </c>
      <c r="J35" s="67" t="s">
        <v>13</v>
      </c>
      <c r="K35" s="40"/>
      <c r="L35" s="1"/>
    </row>
    <row r="36" spans="1:12" s="118" customFormat="1" x14ac:dyDescent="0.25">
      <c r="A36" s="113" t="s">
        <v>1534</v>
      </c>
      <c r="B36" s="113" t="s">
        <v>1535</v>
      </c>
      <c r="C36" s="114">
        <v>45559</v>
      </c>
      <c r="D36" s="115">
        <v>45561</v>
      </c>
      <c r="E36" s="116">
        <f t="shared" si="0"/>
        <v>3</v>
      </c>
      <c r="F36" s="113">
        <v>16</v>
      </c>
      <c r="G36" s="113" t="s">
        <v>12</v>
      </c>
      <c r="H36" s="113" t="s">
        <v>1536</v>
      </c>
      <c r="I36" s="119" t="s">
        <v>145</v>
      </c>
      <c r="J36" s="117"/>
      <c r="K36" s="113"/>
      <c r="L36" s="113"/>
    </row>
    <row r="37" spans="1:12" x14ac:dyDescent="0.25">
      <c r="A37" s="40" t="s">
        <v>1530</v>
      </c>
      <c r="B37" s="40" t="s">
        <v>1531</v>
      </c>
      <c r="C37" s="41">
        <v>45559</v>
      </c>
      <c r="D37" s="48">
        <v>45566</v>
      </c>
      <c r="E37" s="52">
        <f t="shared" si="0"/>
        <v>8</v>
      </c>
      <c r="F37" s="40">
        <v>18</v>
      </c>
      <c r="G37" s="40" t="s">
        <v>12</v>
      </c>
      <c r="H37" s="40" t="s">
        <v>1532</v>
      </c>
      <c r="I37" s="40" t="s">
        <v>1533</v>
      </c>
      <c r="J37" s="67" t="s">
        <v>13</v>
      </c>
      <c r="K37" s="40"/>
      <c r="L37" s="1"/>
    </row>
    <row r="38" spans="1:12" s="65" customFormat="1" x14ac:dyDescent="0.25">
      <c r="A38" s="60" t="s">
        <v>1573</v>
      </c>
      <c r="B38" s="60" t="s">
        <v>1574</v>
      </c>
      <c r="C38" s="61">
        <v>45559</v>
      </c>
      <c r="D38" s="76">
        <v>45562</v>
      </c>
      <c r="E38" s="63">
        <f t="shared" si="0"/>
        <v>4</v>
      </c>
      <c r="F38" s="60">
        <v>32</v>
      </c>
      <c r="G38" s="60" t="s">
        <v>12</v>
      </c>
      <c r="H38" s="60" t="s">
        <v>1575</v>
      </c>
      <c r="I38" s="77" t="s">
        <v>965</v>
      </c>
      <c r="J38" s="77" t="s">
        <v>13</v>
      </c>
      <c r="K38" s="60"/>
      <c r="L38" s="60"/>
    </row>
    <row r="39" spans="1:12" x14ac:dyDescent="0.25">
      <c r="A39" s="40" t="s">
        <v>1562</v>
      </c>
      <c r="B39" s="40" t="s">
        <v>1563</v>
      </c>
      <c r="C39" s="41">
        <v>45561</v>
      </c>
      <c r="D39" s="48">
        <v>45562</v>
      </c>
      <c r="E39" s="52">
        <f t="shared" si="0"/>
        <v>2</v>
      </c>
      <c r="F39" s="40">
        <v>40</v>
      </c>
      <c r="G39" s="40" t="s">
        <v>14</v>
      </c>
      <c r="H39" s="40" t="s">
        <v>1564</v>
      </c>
      <c r="I39" s="40" t="s">
        <v>1565</v>
      </c>
      <c r="J39" s="67" t="s">
        <v>13</v>
      </c>
      <c r="K39" s="40"/>
      <c r="L39" s="1"/>
    </row>
    <row r="40" spans="1:12" x14ac:dyDescent="0.25">
      <c r="A40" s="40" t="s">
        <v>1614</v>
      </c>
      <c r="B40" s="40" t="s">
        <v>1615</v>
      </c>
      <c r="C40" s="41">
        <v>45561</v>
      </c>
      <c r="D40" s="74">
        <v>45573</v>
      </c>
      <c r="E40" s="52">
        <f t="shared" si="0"/>
        <v>13</v>
      </c>
      <c r="F40" s="40">
        <v>33</v>
      </c>
      <c r="G40" s="40" t="s">
        <v>14</v>
      </c>
      <c r="H40" s="40" t="s">
        <v>1616</v>
      </c>
      <c r="I40" s="40" t="s">
        <v>1071</v>
      </c>
      <c r="J40" s="67"/>
      <c r="K40" s="40"/>
      <c r="L40" s="1"/>
    </row>
    <row r="41" spans="1:12" x14ac:dyDescent="0.25">
      <c r="A41" s="40" t="s">
        <v>1588</v>
      </c>
      <c r="B41" s="40" t="s">
        <v>1589</v>
      </c>
      <c r="C41" s="41">
        <v>45561</v>
      </c>
      <c r="D41" s="41">
        <v>45568</v>
      </c>
      <c r="E41" s="52">
        <f t="shared" si="0"/>
        <v>8</v>
      </c>
      <c r="F41" s="40">
        <v>40</v>
      </c>
      <c r="G41" s="40" t="s">
        <v>12</v>
      </c>
      <c r="H41" s="40" t="s">
        <v>1590</v>
      </c>
      <c r="I41" s="40" t="s">
        <v>1201</v>
      </c>
      <c r="J41" s="40"/>
      <c r="K41" s="40"/>
      <c r="L41" s="1"/>
    </row>
    <row r="42" spans="1:12" x14ac:dyDescent="0.25">
      <c r="A42" s="40" t="s">
        <v>1617</v>
      </c>
      <c r="B42" s="40" t="s">
        <v>1618</v>
      </c>
      <c r="C42" s="41">
        <v>45562</v>
      </c>
      <c r="D42" s="74">
        <v>45572</v>
      </c>
      <c r="E42" s="52">
        <f t="shared" si="0"/>
        <v>11</v>
      </c>
      <c r="F42" s="40">
        <v>65</v>
      </c>
      <c r="G42" s="40" t="s">
        <v>12</v>
      </c>
      <c r="H42" s="40" t="s">
        <v>1619</v>
      </c>
      <c r="I42" s="40" t="s">
        <v>1634</v>
      </c>
      <c r="J42" s="67"/>
      <c r="K42" s="40"/>
      <c r="L42" s="1"/>
    </row>
    <row r="43" spans="1:12" x14ac:dyDescent="0.25">
      <c r="A43" s="40" t="s">
        <v>1553</v>
      </c>
      <c r="B43" s="40" t="s">
        <v>60</v>
      </c>
      <c r="C43" s="41">
        <v>45562</v>
      </c>
      <c r="D43" s="74">
        <v>45566</v>
      </c>
      <c r="E43" s="52">
        <f t="shared" si="0"/>
        <v>5</v>
      </c>
      <c r="F43" s="40">
        <v>22</v>
      </c>
      <c r="G43" s="40" t="s">
        <v>12</v>
      </c>
      <c r="H43" s="40" t="s">
        <v>1554</v>
      </c>
      <c r="I43" s="40" t="s">
        <v>17</v>
      </c>
      <c r="J43" s="67"/>
      <c r="K43" s="40"/>
      <c r="L43" s="1"/>
    </row>
    <row r="44" spans="1:12" x14ac:dyDescent="0.25">
      <c r="A44" s="40" t="s">
        <v>1584</v>
      </c>
      <c r="B44" s="40" t="s">
        <v>1585</v>
      </c>
      <c r="C44" s="41">
        <v>45562</v>
      </c>
      <c r="D44" s="74">
        <v>45568</v>
      </c>
      <c r="E44" s="52">
        <f t="shared" si="0"/>
        <v>7</v>
      </c>
      <c r="F44" s="40">
        <v>62</v>
      </c>
      <c r="G44" s="40" t="s">
        <v>14</v>
      </c>
      <c r="H44" s="40" t="s">
        <v>1586</v>
      </c>
      <c r="I44" s="40" t="s">
        <v>1587</v>
      </c>
      <c r="J44" s="67"/>
      <c r="K44" s="40"/>
      <c r="L44" s="1"/>
    </row>
    <row r="45" spans="1:12" x14ac:dyDescent="0.25">
      <c r="A45" s="40" t="s">
        <v>1620</v>
      </c>
      <c r="B45" s="40" t="s">
        <v>1621</v>
      </c>
      <c r="C45" s="41">
        <v>45562</v>
      </c>
      <c r="D45" s="41">
        <v>45573</v>
      </c>
      <c r="E45" s="52">
        <f t="shared" si="0"/>
        <v>12</v>
      </c>
      <c r="F45" s="40">
        <v>30</v>
      </c>
      <c r="G45" s="40" t="s">
        <v>14</v>
      </c>
      <c r="H45" s="40" t="s">
        <v>1622</v>
      </c>
      <c r="I45" s="40" t="s">
        <v>1630</v>
      </c>
      <c r="J45" s="40"/>
      <c r="K45" s="40"/>
      <c r="L45" s="1"/>
    </row>
    <row r="46" spans="1:12" x14ac:dyDescent="0.25">
      <c r="A46" s="40" t="s">
        <v>1580</v>
      </c>
      <c r="B46" s="40" t="s">
        <v>1581</v>
      </c>
      <c r="C46" s="41">
        <v>45565</v>
      </c>
      <c r="D46" s="41">
        <v>45569</v>
      </c>
      <c r="E46" s="52">
        <f t="shared" si="0"/>
        <v>5</v>
      </c>
      <c r="F46" s="40">
        <v>39</v>
      </c>
      <c r="G46" s="40" t="s">
        <v>12</v>
      </c>
      <c r="H46" s="40" t="s">
        <v>1582</v>
      </c>
      <c r="I46" s="40" t="s">
        <v>1583</v>
      </c>
      <c r="J46" s="40"/>
      <c r="K46" s="40"/>
      <c r="L46" s="1"/>
    </row>
    <row r="47" spans="1:12" x14ac:dyDescent="0.25">
      <c r="A47" s="40" t="s">
        <v>1592</v>
      </c>
      <c r="B47" s="40" t="s">
        <v>1593</v>
      </c>
      <c r="C47" s="41">
        <v>45545</v>
      </c>
      <c r="D47" s="41">
        <v>45560</v>
      </c>
      <c r="E47" s="52">
        <f t="shared" si="0"/>
        <v>16</v>
      </c>
      <c r="F47" s="40">
        <v>54</v>
      </c>
      <c r="G47" s="40" t="s">
        <v>14</v>
      </c>
      <c r="H47" s="40" t="s">
        <v>1594</v>
      </c>
      <c r="I47" s="40" t="s">
        <v>16</v>
      </c>
      <c r="J47" s="40"/>
      <c r="K47" s="40"/>
      <c r="L47" s="1"/>
    </row>
    <row r="48" spans="1:12" s="65" customFormat="1" x14ac:dyDescent="0.25">
      <c r="A48" s="60" t="s">
        <v>1623</v>
      </c>
      <c r="B48" s="60" t="s">
        <v>1624</v>
      </c>
      <c r="C48" s="61">
        <v>45565</v>
      </c>
      <c r="D48" s="61">
        <v>45572</v>
      </c>
      <c r="E48" s="63">
        <f t="shared" si="0"/>
        <v>8</v>
      </c>
      <c r="F48" s="60">
        <v>40</v>
      </c>
      <c r="G48" s="60" t="s">
        <v>12</v>
      </c>
      <c r="H48" s="60" t="s">
        <v>1625</v>
      </c>
      <c r="I48" s="60" t="s">
        <v>1080</v>
      </c>
      <c r="J48" s="60"/>
      <c r="K48" s="60"/>
      <c r="L48" s="60"/>
    </row>
    <row r="49" spans="1:16" x14ac:dyDescent="0.25">
      <c r="A49" s="40" t="s">
        <v>2332</v>
      </c>
      <c r="B49" s="41" t="s">
        <v>2333</v>
      </c>
      <c r="C49" s="41">
        <v>45556</v>
      </c>
      <c r="D49" s="48">
        <v>45561</v>
      </c>
      <c r="E49" s="52">
        <f t="shared" si="0"/>
        <v>6</v>
      </c>
      <c r="F49" s="40">
        <v>67</v>
      </c>
      <c r="G49" s="40" t="s">
        <v>12</v>
      </c>
      <c r="H49" s="40" t="s">
        <v>2334</v>
      </c>
      <c r="I49" s="40" t="s">
        <v>22</v>
      </c>
      <c r="J49" s="40" t="s">
        <v>2335</v>
      </c>
      <c r="K49" s="40"/>
      <c r="L49" s="1"/>
    </row>
    <row r="50" spans="1:16" ht="18.75" x14ac:dyDescent="0.3">
      <c r="A50" s="40"/>
      <c r="B50" s="40"/>
      <c r="C50" s="41"/>
      <c r="D50" s="41"/>
      <c r="E50" s="52">
        <f t="shared" si="0"/>
        <v>1</v>
      </c>
      <c r="F50" s="40"/>
      <c r="G50" s="40"/>
      <c r="H50" s="40"/>
      <c r="I50" s="40"/>
      <c r="J50" s="40"/>
      <c r="K50" s="40"/>
      <c r="L50" s="1"/>
      <c r="P50" s="45"/>
    </row>
    <row r="51" spans="1:16" x14ac:dyDescent="0.25">
      <c r="A51" s="40"/>
      <c r="B51" s="40"/>
      <c r="C51" s="41"/>
      <c r="D51" s="41"/>
      <c r="E51" s="52">
        <f t="shared" si="0"/>
        <v>1</v>
      </c>
      <c r="F51" s="40"/>
      <c r="G51" s="40"/>
      <c r="H51" s="40"/>
      <c r="I51" s="40"/>
      <c r="J51" s="40"/>
      <c r="K51" s="40"/>
      <c r="L51" s="1"/>
    </row>
    <row r="52" spans="1:16" x14ac:dyDescent="0.25">
      <c r="A52" s="40"/>
      <c r="B52" s="40"/>
      <c r="C52" s="41"/>
      <c r="D52" s="41"/>
      <c r="E52" s="52">
        <f t="shared" si="0"/>
        <v>1</v>
      </c>
      <c r="F52" s="40"/>
      <c r="G52" s="40"/>
      <c r="H52" s="40"/>
      <c r="I52" s="40"/>
      <c r="J52" s="40"/>
      <c r="K52" s="40"/>
      <c r="L52" s="1"/>
    </row>
    <row r="53" spans="1:16" x14ac:dyDescent="0.25">
      <c r="A53" s="40"/>
      <c r="B53" s="40"/>
      <c r="C53" s="41"/>
      <c r="D53" s="41"/>
      <c r="E53" s="52">
        <f t="shared" si="0"/>
        <v>1</v>
      </c>
      <c r="F53" s="40"/>
      <c r="G53" s="40"/>
      <c r="H53" s="40"/>
      <c r="I53" s="40"/>
      <c r="J53" s="40"/>
      <c r="K53" s="40"/>
      <c r="L53" s="1"/>
      <c r="M53" s="44"/>
    </row>
    <row r="54" spans="1:16" x14ac:dyDescent="0.25">
      <c r="A54" s="40"/>
      <c r="B54" s="40"/>
      <c r="C54" s="41"/>
      <c r="D54" s="48"/>
      <c r="E54" s="52">
        <f t="shared" si="0"/>
        <v>1</v>
      </c>
      <c r="F54" s="40"/>
      <c r="G54" s="40"/>
      <c r="H54" s="40"/>
      <c r="I54" s="40"/>
      <c r="J54" s="67"/>
      <c r="K54" s="67"/>
      <c r="L54" s="1"/>
      <c r="M54" s="44"/>
    </row>
    <row r="55" spans="1:16" x14ac:dyDescent="0.25">
      <c r="A55" s="40"/>
      <c r="B55" s="40"/>
      <c r="C55" s="41"/>
      <c r="D55" s="41"/>
      <c r="E55" s="52">
        <f t="shared" si="0"/>
        <v>1</v>
      </c>
      <c r="F55" s="40"/>
      <c r="G55" s="40"/>
      <c r="H55" s="40"/>
      <c r="I55" s="40"/>
      <c r="J55" s="40"/>
      <c r="K55" s="67"/>
      <c r="L55" s="22"/>
      <c r="N55" s="44"/>
    </row>
    <row r="56" spans="1:16" x14ac:dyDescent="0.25">
      <c r="A56" s="40"/>
      <c r="B56" s="40"/>
      <c r="C56" s="41"/>
      <c r="D56" s="41"/>
      <c r="E56" s="52">
        <f t="shared" si="0"/>
        <v>1</v>
      </c>
      <c r="F56" s="40"/>
      <c r="G56" s="40"/>
      <c r="H56" s="40"/>
      <c r="I56" s="40"/>
      <c r="J56" s="71"/>
      <c r="K56" s="40"/>
      <c r="L56" s="1"/>
    </row>
    <row r="57" spans="1:16" x14ac:dyDescent="0.25">
      <c r="A57" s="40"/>
      <c r="B57" s="40"/>
      <c r="C57" s="41"/>
      <c r="D57" s="48"/>
      <c r="E57" s="52">
        <f t="shared" si="0"/>
        <v>1</v>
      </c>
      <c r="F57" s="40"/>
      <c r="G57" s="40"/>
      <c r="H57" s="40"/>
      <c r="I57" s="40"/>
      <c r="J57" s="67"/>
      <c r="K57" s="40"/>
      <c r="L57" s="1"/>
      <c r="O57" s="46"/>
    </row>
    <row r="58" spans="1:16" x14ac:dyDescent="0.25">
      <c r="A58" s="40"/>
      <c r="B58" s="40"/>
      <c r="C58" s="41"/>
      <c r="D58" s="41"/>
      <c r="E58" s="52">
        <f t="shared" si="0"/>
        <v>1</v>
      </c>
      <c r="F58" s="40"/>
      <c r="G58" s="40"/>
      <c r="H58" s="40"/>
      <c r="I58" s="40"/>
      <c r="J58" s="40"/>
      <c r="K58" s="40"/>
      <c r="L58" s="1"/>
    </row>
    <row r="59" spans="1:16" x14ac:dyDescent="0.25">
      <c r="A59" s="40"/>
      <c r="B59" s="40"/>
      <c r="C59" s="41"/>
      <c r="D59" s="41"/>
      <c r="E59" s="52">
        <f t="shared" si="0"/>
        <v>1</v>
      </c>
      <c r="F59" s="40"/>
      <c r="G59" s="40"/>
      <c r="H59" s="40"/>
      <c r="I59" s="40"/>
      <c r="J59" s="40"/>
      <c r="K59" s="40"/>
      <c r="L59" s="1"/>
    </row>
    <row r="60" spans="1:16" x14ac:dyDescent="0.25">
      <c r="A60" s="40"/>
      <c r="B60" s="40"/>
      <c r="C60" s="41"/>
      <c r="D60" s="41"/>
      <c r="E60" s="52">
        <f t="shared" si="0"/>
        <v>1</v>
      </c>
      <c r="F60" s="40"/>
      <c r="G60" s="40"/>
      <c r="H60" s="40"/>
      <c r="I60" s="40"/>
      <c r="J60" s="40"/>
      <c r="K60" s="40"/>
      <c r="L60" s="1"/>
    </row>
    <row r="61" spans="1:16" s="19" customFormat="1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71"/>
      <c r="J61" s="40"/>
      <c r="K61" s="40"/>
      <c r="L61" s="18"/>
    </row>
    <row r="62" spans="1:16" s="19" customFormat="1" x14ac:dyDescent="0.25">
      <c r="A62" s="40"/>
      <c r="B62" s="40"/>
      <c r="C62" s="41"/>
      <c r="D62" s="48"/>
      <c r="E62" s="52">
        <f t="shared" si="0"/>
        <v>1</v>
      </c>
      <c r="F62" s="40"/>
      <c r="G62" s="40"/>
      <c r="H62" s="40"/>
      <c r="I62" s="71"/>
      <c r="J62" s="67"/>
      <c r="K62" s="40"/>
      <c r="L62" s="18"/>
    </row>
    <row r="63" spans="1:16" x14ac:dyDescent="0.25">
      <c r="A63" s="40"/>
      <c r="B63" s="40"/>
      <c r="C63" s="41"/>
      <c r="D63" s="41"/>
      <c r="E63" s="52">
        <f t="shared" si="0"/>
        <v>1</v>
      </c>
      <c r="F63" s="40"/>
      <c r="G63" s="40"/>
      <c r="H63" s="40"/>
      <c r="I63" s="40"/>
      <c r="J63" s="67"/>
      <c r="K63" s="40"/>
      <c r="L63" s="1"/>
    </row>
    <row r="64" spans="1:16" x14ac:dyDescent="0.25">
      <c r="A64" s="40"/>
      <c r="B64" s="40"/>
      <c r="C64" s="41"/>
      <c r="D64" s="41"/>
      <c r="E64" s="52">
        <f t="shared" si="0"/>
        <v>1</v>
      </c>
      <c r="F64" s="40"/>
      <c r="G64" s="40"/>
      <c r="H64" s="40"/>
      <c r="I64" s="40"/>
      <c r="J64" s="40"/>
      <c r="K64" s="40"/>
      <c r="L64" s="1"/>
    </row>
    <row r="65" spans="1:12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40"/>
      <c r="K65" s="40"/>
      <c r="L65" s="1"/>
    </row>
    <row r="66" spans="1:12" x14ac:dyDescent="0.25">
      <c r="A66" s="40"/>
      <c r="B66" s="40"/>
      <c r="C66" s="41"/>
      <c r="D66" s="41"/>
      <c r="E66" s="52">
        <f t="shared" ref="E66:E81" si="1">D66-C66+1</f>
        <v>1</v>
      </c>
      <c r="F66" s="40"/>
      <c r="G66" s="40"/>
      <c r="H66" s="40"/>
      <c r="I66" s="40"/>
      <c r="J66" s="40"/>
      <c r="K66" s="40"/>
      <c r="L66" s="1"/>
    </row>
    <row r="67" spans="1:12" x14ac:dyDescent="0.25">
      <c r="A67" s="40"/>
      <c r="B67" s="40"/>
      <c r="C67" s="41"/>
      <c r="D67" s="41"/>
      <c r="E67" s="52">
        <f t="shared" si="1"/>
        <v>1</v>
      </c>
      <c r="F67" s="40"/>
      <c r="G67" s="40"/>
      <c r="H67" s="40"/>
      <c r="I67" s="40"/>
      <c r="J67" s="40"/>
      <c r="K67" s="40"/>
      <c r="L67" s="1"/>
    </row>
    <row r="68" spans="1:12" s="19" customFormat="1" x14ac:dyDescent="0.25">
      <c r="A68" s="40"/>
      <c r="B68" s="41"/>
      <c r="C68" s="41"/>
      <c r="D68" s="41"/>
      <c r="E68" s="52">
        <f t="shared" si="1"/>
        <v>1</v>
      </c>
      <c r="F68" s="40"/>
      <c r="G68" s="40"/>
      <c r="H68" s="40"/>
      <c r="I68" s="71"/>
      <c r="J68" s="42"/>
      <c r="K68" s="42"/>
      <c r="L68" s="18"/>
    </row>
    <row r="69" spans="1:12" x14ac:dyDescent="0.25">
      <c r="A69" s="40"/>
      <c r="B69" s="40"/>
      <c r="C69" s="41"/>
      <c r="D69" s="41"/>
      <c r="E69" s="52">
        <f t="shared" si="1"/>
        <v>1</v>
      </c>
      <c r="F69" s="40"/>
      <c r="G69" s="40"/>
      <c r="H69" s="40"/>
      <c r="I69" s="40"/>
      <c r="J69" s="40"/>
      <c r="K69" s="40"/>
      <c r="L69" s="1"/>
    </row>
    <row r="70" spans="1:12" x14ac:dyDescent="0.25">
      <c r="A70" s="40"/>
      <c r="B70" s="40"/>
      <c r="C70" s="41"/>
      <c r="D70" s="41"/>
      <c r="E70" s="52">
        <f t="shared" si="1"/>
        <v>1</v>
      </c>
      <c r="F70" s="40"/>
      <c r="G70" s="40"/>
      <c r="H70" s="40"/>
      <c r="I70" s="40"/>
      <c r="J70" s="40"/>
      <c r="K70" s="40"/>
      <c r="L70" s="1"/>
    </row>
    <row r="71" spans="1:12" x14ac:dyDescent="0.25">
      <c r="A71" s="40"/>
      <c r="B71" s="40"/>
      <c r="C71" s="41"/>
      <c r="D71" s="48"/>
      <c r="E71" s="52">
        <f t="shared" si="1"/>
        <v>1</v>
      </c>
      <c r="F71" s="40"/>
      <c r="G71" s="40"/>
      <c r="H71" s="40"/>
      <c r="I71" s="40"/>
      <c r="J71" s="67"/>
      <c r="K71" s="40"/>
      <c r="L71" s="1"/>
    </row>
    <row r="72" spans="1:12" x14ac:dyDescent="0.25">
      <c r="A72" s="40"/>
      <c r="B72" s="40"/>
      <c r="C72" s="41"/>
      <c r="D72" s="41"/>
      <c r="E72" s="52">
        <f t="shared" si="1"/>
        <v>1</v>
      </c>
      <c r="F72" s="40"/>
      <c r="G72" s="40"/>
      <c r="H72" s="40"/>
      <c r="I72" s="40"/>
      <c r="J72" s="40"/>
      <c r="K72" s="40"/>
      <c r="L72" s="1"/>
    </row>
    <row r="73" spans="1:12" s="19" customFormat="1" x14ac:dyDescent="0.25">
      <c r="A73" s="40"/>
      <c r="B73" s="40"/>
      <c r="C73" s="41"/>
      <c r="D73" s="41"/>
      <c r="E73" s="52">
        <f t="shared" si="1"/>
        <v>1</v>
      </c>
      <c r="F73" s="40"/>
      <c r="G73" s="40"/>
      <c r="H73" s="40"/>
      <c r="I73" s="71"/>
      <c r="J73" s="40"/>
      <c r="K73" s="40"/>
      <c r="L73" s="18"/>
    </row>
    <row r="74" spans="1:12" x14ac:dyDescent="0.25">
      <c r="A74" s="40"/>
      <c r="B74" s="40"/>
      <c r="C74" s="41"/>
      <c r="D74" s="41"/>
      <c r="E74" s="52">
        <f t="shared" si="1"/>
        <v>1</v>
      </c>
      <c r="F74" s="40"/>
      <c r="G74" s="40"/>
      <c r="H74" s="40"/>
      <c r="I74" s="40"/>
      <c r="J74" s="40"/>
      <c r="K74" s="40"/>
      <c r="L74" s="1"/>
    </row>
    <row r="75" spans="1:12" s="19" customFormat="1" x14ac:dyDescent="0.25">
      <c r="A75" s="40"/>
      <c r="B75" s="40"/>
      <c r="C75" s="41"/>
      <c r="D75" s="41"/>
      <c r="E75" s="52">
        <f t="shared" si="1"/>
        <v>1</v>
      </c>
      <c r="F75" s="40"/>
      <c r="G75" s="40"/>
      <c r="H75" s="40"/>
      <c r="I75" s="71"/>
      <c r="J75" s="40"/>
      <c r="K75" s="40"/>
      <c r="L75" s="18"/>
    </row>
    <row r="76" spans="1:12" x14ac:dyDescent="0.25">
      <c r="A76" s="40"/>
      <c r="B76" s="40"/>
      <c r="C76" s="41"/>
      <c r="D76" s="48"/>
      <c r="E76" s="52">
        <f t="shared" si="1"/>
        <v>1</v>
      </c>
      <c r="F76" s="40"/>
      <c r="G76" s="40"/>
      <c r="H76" s="40"/>
      <c r="I76" s="40"/>
      <c r="J76" s="67"/>
      <c r="K76" s="40"/>
      <c r="L76" s="1"/>
    </row>
    <row r="77" spans="1:12" x14ac:dyDescent="0.25">
      <c r="A77" s="40"/>
      <c r="B77" s="40"/>
      <c r="C77" s="41"/>
      <c r="D77" s="41"/>
      <c r="E77" s="52">
        <f t="shared" si="1"/>
        <v>1</v>
      </c>
      <c r="F77" s="40"/>
      <c r="G77" s="40"/>
      <c r="H77" s="40"/>
      <c r="I77" s="40"/>
      <c r="J77" s="40"/>
      <c r="K77" s="40"/>
      <c r="L77" s="1"/>
    </row>
    <row r="78" spans="1:12" x14ac:dyDescent="0.25">
      <c r="A78" s="40"/>
      <c r="B78" s="40"/>
      <c r="C78" s="41"/>
      <c r="D78" s="41"/>
      <c r="E78" s="52">
        <f t="shared" si="1"/>
        <v>1</v>
      </c>
      <c r="F78" s="40"/>
      <c r="G78" s="40"/>
      <c r="H78" s="40"/>
      <c r="I78" s="40"/>
      <c r="J78" s="40"/>
      <c r="K78" s="40"/>
      <c r="L78" s="1"/>
    </row>
    <row r="79" spans="1:12" x14ac:dyDescent="0.25">
      <c r="A79" s="40"/>
      <c r="B79" s="40"/>
      <c r="C79" s="41"/>
      <c r="D79" s="48"/>
      <c r="E79" s="52">
        <f t="shared" si="1"/>
        <v>1</v>
      </c>
      <c r="F79" s="40"/>
      <c r="G79" s="40"/>
      <c r="H79" s="40"/>
      <c r="I79" s="40"/>
      <c r="J79" s="67"/>
      <c r="K79" s="40"/>
      <c r="L79" s="1"/>
    </row>
    <row r="80" spans="1:12" x14ac:dyDescent="0.25">
      <c r="A80" s="40"/>
      <c r="B80" s="40"/>
      <c r="C80" s="41"/>
      <c r="D80" s="41"/>
      <c r="E80" s="52">
        <f t="shared" si="1"/>
        <v>1</v>
      </c>
      <c r="F80" s="40"/>
      <c r="G80" s="40"/>
      <c r="H80" s="40"/>
      <c r="I80" s="40"/>
      <c r="J80" s="40"/>
      <c r="K80" s="40"/>
      <c r="L80" s="1"/>
    </row>
    <row r="81" spans="1:12" x14ac:dyDescent="0.25">
      <c r="A81" s="40"/>
      <c r="B81" s="40"/>
      <c r="C81" s="74"/>
      <c r="D81" s="41"/>
      <c r="E81" s="52">
        <f t="shared" si="1"/>
        <v>1</v>
      </c>
      <c r="F81" s="40"/>
      <c r="G81" s="40"/>
      <c r="H81" s="40"/>
      <c r="I81" s="40"/>
      <c r="J81" s="40"/>
      <c r="K81" s="40"/>
      <c r="L81" s="1"/>
    </row>
    <row r="82" spans="1:12" x14ac:dyDescent="0.25">
      <c r="A82" s="40"/>
      <c r="B82" s="40"/>
      <c r="C82" s="41"/>
      <c r="D82" s="41"/>
      <c r="E82" s="40"/>
      <c r="F82" s="40"/>
      <c r="G82" s="40"/>
      <c r="H82" s="40"/>
      <c r="I82" s="40"/>
      <c r="J82" s="40"/>
      <c r="K82" s="40"/>
      <c r="L82" s="1"/>
    </row>
    <row r="83" spans="1:12" x14ac:dyDescent="0.25">
      <c r="A83" s="40"/>
      <c r="B83" s="40"/>
      <c r="C83" s="41"/>
      <c r="D83" s="41"/>
      <c r="E83" s="40"/>
      <c r="F83" s="40"/>
      <c r="G83" s="40"/>
      <c r="H83" s="40"/>
      <c r="I83" s="40"/>
      <c r="J83" s="71"/>
      <c r="K83" s="40"/>
      <c r="L83" s="1"/>
    </row>
    <row r="84" spans="1:12" s="29" customFormat="1" x14ac:dyDescent="0.25">
      <c r="A84" s="40"/>
      <c r="B84" s="40"/>
      <c r="C84" s="41"/>
      <c r="D84" s="41"/>
      <c r="E84" s="40"/>
      <c r="F84" s="40"/>
      <c r="G84" s="40"/>
      <c r="H84" s="40"/>
      <c r="I84" s="40"/>
      <c r="J84" s="40"/>
      <c r="K84" s="40"/>
      <c r="L84" s="28"/>
    </row>
    <row r="85" spans="1:12" x14ac:dyDescent="0.25">
      <c r="A85" s="40"/>
      <c r="B85" s="40"/>
      <c r="C85" s="41"/>
      <c r="D85" s="41"/>
      <c r="E85" s="40"/>
      <c r="F85" s="40"/>
      <c r="G85" s="40"/>
      <c r="H85" s="40"/>
      <c r="I85" s="40"/>
      <c r="J85" s="40"/>
      <c r="K85" s="40"/>
      <c r="L85" s="1"/>
    </row>
    <row r="86" spans="1:12" x14ac:dyDescent="0.25">
      <c r="A86" s="40"/>
      <c r="B86" s="40"/>
      <c r="C86" s="41"/>
      <c r="D86" s="41"/>
      <c r="E86" s="40"/>
      <c r="F86" s="40"/>
      <c r="G86" s="40"/>
      <c r="H86" s="40"/>
      <c r="I86" s="40"/>
      <c r="J86" s="40"/>
      <c r="K86" s="40"/>
      <c r="L86" s="1"/>
    </row>
    <row r="87" spans="1:12" x14ac:dyDescent="0.25">
      <c r="A87" s="40"/>
      <c r="B87" s="40"/>
      <c r="C87" s="41"/>
      <c r="D87" s="41"/>
      <c r="E87" s="40"/>
      <c r="F87" s="40"/>
      <c r="G87" s="40"/>
      <c r="H87" s="40"/>
      <c r="I87" s="40"/>
      <c r="J87" s="40"/>
      <c r="K87" s="40"/>
      <c r="L87" s="1"/>
    </row>
    <row r="88" spans="1:12" x14ac:dyDescent="0.25">
      <c r="A88" s="40"/>
      <c r="B88" s="40"/>
      <c r="C88" s="41"/>
      <c r="D88" s="48"/>
      <c r="E88" s="40"/>
      <c r="F88" s="40"/>
      <c r="G88" s="40"/>
      <c r="H88" s="40"/>
      <c r="I88" s="40"/>
      <c r="J88" s="67"/>
      <c r="K88" s="40"/>
      <c r="L88" s="1"/>
    </row>
    <row r="89" spans="1:12" x14ac:dyDescent="0.25">
      <c r="A89" s="40"/>
      <c r="B89" s="40"/>
      <c r="C89" s="41"/>
      <c r="D89" s="48"/>
      <c r="E89" s="40"/>
      <c r="F89" s="40"/>
      <c r="G89" s="40"/>
      <c r="H89" s="40"/>
      <c r="I89" s="40"/>
      <c r="J89" s="67"/>
      <c r="K89" s="40"/>
      <c r="L89" s="1"/>
    </row>
    <row r="90" spans="1:12" x14ac:dyDescent="0.25">
      <c r="A90" s="40"/>
      <c r="B90" s="40"/>
      <c r="C90" s="41"/>
      <c r="D90" s="41"/>
      <c r="E90" s="40"/>
      <c r="F90" s="40"/>
      <c r="G90" s="40"/>
      <c r="H90" s="40"/>
      <c r="I90" s="40"/>
      <c r="J90" s="40"/>
      <c r="K90" s="40"/>
      <c r="L90" s="1"/>
    </row>
    <row r="91" spans="1:12" x14ac:dyDescent="0.25">
      <c r="A91" s="40"/>
      <c r="B91" s="40"/>
      <c r="C91" s="41"/>
      <c r="D91" s="41"/>
      <c r="E91" s="40"/>
      <c r="F91" s="40"/>
      <c r="G91" s="40"/>
      <c r="H91" s="40"/>
      <c r="I91" s="40"/>
      <c r="J91" s="40"/>
      <c r="K91" s="40"/>
      <c r="L91" s="1"/>
    </row>
    <row r="92" spans="1:12" x14ac:dyDescent="0.25">
      <c r="A92" s="40"/>
      <c r="B92" s="40"/>
      <c r="C92" s="41"/>
      <c r="D92" s="48"/>
      <c r="E92" s="40"/>
      <c r="F92" s="40"/>
      <c r="G92" s="40"/>
      <c r="H92" s="40"/>
      <c r="I92" s="40"/>
      <c r="J92" s="67"/>
      <c r="K92" s="40"/>
      <c r="L92" s="1"/>
    </row>
    <row r="93" spans="1:12" x14ac:dyDescent="0.25">
      <c r="A93" s="40"/>
      <c r="B93" s="40"/>
      <c r="C93" s="41"/>
      <c r="D93" s="41"/>
      <c r="E93" s="40"/>
      <c r="F93" s="40"/>
      <c r="G93" s="40"/>
      <c r="H93" s="40"/>
      <c r="I93" s="40"/>
      <c r="J93" s="40"/>
      <c r="K93" s="40"/>
      <c r="L93" s="1"/>
    </row>
    <row r="94" spans="1:12" x14ac:dyDescent="0.25">
      <c r="A94" s="40"/>
      <c r="B94" s="40"/>
      <c r="C94" s="41"/>
      <c r="D94" s="48"/>
      <c r="E94" s="40"/>
      <c r="F94" s="40"/>
      <c r="G94" s="40"/>
      <c r="H94" s="40"/>
      <c r="I94" s="40"/>
      <c r="J94" s="67"/>
      <c r="K94" s="40"/>
      <c r="L94" s="1"/>
    </row>
    <row r="95" spans="1:12" x14ac:dyDescent="0.25">
      <c r="A95" s="40"/>
      <c r="B95" s="40"/>
      <c r="C95" s="41"/>
      <c r="D95" s="41"/>
      <c r="E95" s="40"/>
      <c r="F95" s="40"/>
      <c r="G95" s="40"/>
      <c r="H95" s="40"/>
      <c r="I95" s="40"/>
      <c r="J95" s="40"/>
      <c r="K95" s="40"/>
      <c r="L95" s="1"/>
    </row>
    <row r="96" spans="1:12" x14ac:dyDescent="0.25">
      <c r="A96" s="40"/>
      <c r="B96" s="40"/>
      <c r="C96" s="41"/>
      <c r="D96" s="48"/>
      <c r="E96" s="40"/>
      <c r="F96" s="40"/>
      <c r="G96" s="40"/>
      <c r="H96" s="40"/>
      <c r="I96" s="40"/>
      <c r="J96" s="67"/>
      <c r="K96" s="40"/>
      <c r="L96" s="1"/>
    </row>
    <row r="97" spans="1:12" x14ac:dyDescent="0.25">
      <c r="A97" s="40"/>
      <c r="B97" s="40"/>
      <c r="C97" s="41"/>
      <c r="D97" s="41"/>
      <c r="E97" s="40"/>
      <c r="F97" s="40"/>
      <c r="G97" s="40"/>
      <c r="H97" s="40"/>
      <c r="I97" s="40"/>
      <c r="J97" s="40"/>
      <c r="K97" s="40"/>
      <c r="L97" s="1"/>
    </row>
    <row r="98" spans="1:12" x14ac:dyDescent="0.25">
      <c r="A98" s="40"/>
      <c r="B98" s="40"/>
      <c r="C98" s="41"/>
      <c r="D98" s="48"/>
      <c r="E98" s="40"/>
      <c r="F98" s="40"/>
      <c r="G98" s="40"/>
      <c r="H98" s="40"/>
      <c r="I98" s="40"/>
      <c r="J98" s="67"/>
      <c r="K98" s="40"/>
      <c r="L98" s="1"/>
    </row>
    <row r="99" spans="1:12" x14ac:dyDescent="0.25">
      <c r="A99" s="40"/>
      <c r="B99" s="40"/>
      <c r="C99" s="40"/>
      <c r="D99" s="41"/>
      <c r="E99" s="40"/>
      <c r="F99" s="40"/>
      <c r="G99" s="40"/>
      <c r="H99" s="40"/>
      <c r="I99" s="40"/>
      <c r="J99" s="40"/>
      <c r="K99" s="40"/>
      <c r="L99" s="1"/>
    </row>
    <row r="100" spans="1:12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1"/>
    </row>
    <row r="101" spans="1:12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1"/>
    </row>
    <row r="102" spans="1:12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1"/>
    </row>
    <row r="103" spans="1:12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1"/>
    </row>
    <row r="104" spans="1:12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1"/>
    </row>
    <row r="105" spans="1:12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1"/>
    </row>
    <row r="106" spans="1:12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1"/>
    </row>
    <row r="107" spans="1:12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1"/>
    </row>
    <row r="108" spans="1:12" x14ac:dyDescent="0.25">
      <c r="A108" s="40"/>
      <c r="B108" s="40"/>
      <c r="C108" s="40"/>
      <c r="D108" s="41"/>
      <c r="E108" s="40"/>
      <c r="F108" s="40"/>
      <c r="G108" s="40"/>
      <c r="H108" s="40"/>
      <c r="I108" s="40"/>
      <c r="J108" s="40"/>
      <c r="K108" s="40"/>
      <c r="L108" s="1"/>
    </row>
    <row r="109" spans="1:12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1"/>
    </row>
    <row r="110" spans="1:12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1"/>
    </row>
    <row r="111" spans="1:12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1"/>
    </row>
    <row r="112" spans="1:12" x14ac:dyDescent="0.25">
      <c r="A112" s="40"/>
      <c r="B112" s="40"/>
      <c r="C112" s="41"/>
      <c r="D112" s="40"/>
      <c r="E112" s="40"/>
      <c r="F112" s="40"/>
      <c r="G112" s="40"/>
      <c r="H112" s="40"/>
      <c r="I112" s="40"/>
      <c r="J112" s="40"/>
      <c r="K112" s="40"/>
      <c r="L112" s="1"/>
    </row>
    <row r="113" spans="1:12" x14ac:dyDescent="0.25">
      <c r="A113" s="40"/>
      <c r="B113" s="40"/>
      <c r="C113" s="41"/>
      <c r="D113" s="40"/>
      <c r="E113" s="40"/>
      <c r="F113" s="40"/>
      <c r="G113" s="40"/>
      <c r="H113" s="40"/>
      <c r="I113" s="40"/>
      <c r="J113" s="40"/>
      <c r="K113" s="40"/>
      <c r="L113" s="1"/>
    </row>
    <row r="114" spans="1:12" x14ac:dyDescent="0.25">
      <c r="A114" s="40"/>
      <c r="B114" s="40"/>
      <c r="C114" s="41"/>
      <c r="D114" s="40"/>
      <c r="E114" s="40"/>
      <c r="F114" s="40"/>
      <c r="G114" s="40"/>
      <c r="H114" s="40"/>
      <c r="I114" s="40"/>
      <c r="J114" s="40"/>
      <c r="K114" s="40"/>
      <c r="L114" s="1"/>
    </row>
    <row r="115" spans="1:12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5"/>
  <sheetViews>
    <sheetView workbookViewId="0">
      <selection activeCell="J39" sqref="J39"/>
    </sheetView>
  </sheetViews>
  <sheetFormatPr baseColWidth="10" defaultRowHeight="15" x14ac:dyDescent="0.25"/>
  <cols>
    <col min="1" max="1" width="6.7109375" customWidth="1"/>
    <col min="2" max="2" width="29.85546875" customWidth="1"/>
    <col min="3" max="3" width="14.5703125" customWidth="1"/>
    <col min="4" max="4" width="15.140625" customWidth="1"/>
    <col min="5" max="5" width="14.5703125" customWidth="1"/>
    <col min="6" max="6" width="6.42578125" customWidth="1"/>
    <col min="7" max="7" width="7.28515625" customWidth="1"/>
    <col min="8" max="8" width="35" customWidth="1"/>
    <col min="9" max="9" width="25.140625" customWidth="1"/>
    <col min="10" max="10" width="14.28515625" customWidth="1"/>
    <col min="11" max="11" width="13.42578125" customWidth="1"/>
  </cols>
  <sheetData>
    <row r="1" spans="1:13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3" x14ac:dyDescent="0.25">
      <c r="A2" s="40" t="s">
        <v>1626</v>
      </c>
      <c r="B2" s="40" t="s">
        <v>23</v>
      </c>
      <c r="C2" s="41">
        <v>45566</v>
      </c>
      <c r="D2" s="48">
        <v>45570</v>
      </c>
      <c r="E2" s="52">
        <f t="shared" ref="E2:E63" si="0">D2-C2+1</f>
        <v>5</v>
      </c>
      <c r="F2" s="40">
        <v>22</v>
      </c>
      <c r="G2" s="40" t="s">
        <v>12</v>
      </c>
      <c r="H2" s="40" t="s">
        <v>1726</v>
      </c>
      <c r="I2" s="40" t="s">
        <v>46</v>
      </c>
      <c r="J2" s="67" t="s">
        <v>13</v>
      </c>
      <c r="K2" s="40"/>
      <c r="L2" s="40"/>
      <c r="M2" s="42"/>
    </row>
    <row r="3" spans="1:13" x14ac:dyDescent="0.25">
      <c r="A3" s="40" t="s">
        <v>1715</v>
      </c>
      <c r="B3" s="40" t="s">
        <v>1716</v>
      </c>
      <c r="C3" s="41">
        <v>45567</v>
      </c>
      <c r="D3" s="41">
        <v>45574</v>
      </c>
      <c r="E3" s="52">
        <f t="shared" si="0"/>
        <v>8</v>
      </c>
      <c r="F3" s="40">
        <v>70</v>
      </c>
      <c r="G3" s="40" t="s">
        <v>14</v>
      </c>
      <c r="H3" s="40" t="s">
        <v>1717</v>
      </c>
      <c r="I3" s="40" t="s">
        <v>1718</v>
      </c>
      <c r="J3" s="40"/>
      <c r="K3" s="40"/>
      <c r="L3" s="40"/>
      <c r="M3" s="42"/>
    </row>
    <row r="4" spans="1:13" x14ac:dyDescent="0.25">
      <c r="A4" s="40" t="s">
        <v>1688</v>
      </c>
      <c r="B4" s="40" t="s">
        <v>1689</v>
      </c>
      <c r="C4" s="41">
        <v>45567</v>
      </c>
      <c r="D4" s="41">
        <v>45582</v>
      </c>
      <c r="E4" s="52">
        <f t="shared" si="0"/>
        <v>16</v>
      </c>
      <c r="F4" s="40">
        <v>54</v>
      </c>
      <c r="G4" s="40" t="s">
        <v>12</v>
      </c>
      <c r="H4" s="40" t="s">
        <v>1690</v>
      </c>
      <c r="I4" s="40" t="s">
        <v>1691</v>
      </c>
      <c r="J4" s="40"/>
      <c r="K4" s="40"/>
      <c r="L4" s="40"/>
      <c r="M4" s="42"/>
    </row>
    <row r="5" spans="1:13" x14ac:dyDescent="0.25">
      <c r="A5" s="40" t="s">
        <v>1672</v>
      </c>
      <c r="B5" s="40" t="s">
        <v>1673</v>
      </c>
      <c r="C5" s="41">
        <v>45568</v>
      </c>
      <c r="D5" s="41">
        <v>45593</v>
      </c>
      <c r="E5" s="52">
        <f t="shared" si="0"/>
        <v>26</v>
      </c>
      <c r="F5" s="40">
        <v>36</v>
      </c>
      <c r="G5" s="40" t="s">
        <v>14</v>
      </c>
      <c r="H5" s="40" t="s">
        <v>1674</v>
      </c>
      <c r="I5" s="40" t="s">
        <v>1675</v>
      </c>
      <c r="J5" s="40"/>
      <c r="K5" s="40"/>
      <c r="L5" s="40"/>
      <c r="M5" s="42"/>
    </row>
    <row r="6" spans="1:13" x14ac:dyDescent="0.25">
      <c r="A6" s="40" t="s">
        <v>1707</v>
      </c>
      <c r="B6" s="40" t="s">
        <v>1708</v>
      </c>
      <c r="C6" s="41">
        <v>45568</v>
      </c>
      <c r="D6" s="41">
        <v>45581</v>
      </c>
      <c r="E6" s="52">
        <f t="shared" si="0"/>
        <v>14</v>
      </c>
      <c r="F6" s="40">
        <v>48</v>
      </c>
      <c r="G6" s="40" t="s">
        <v>14</v>
      </c>
      <c r="H6" s="40" t="s">
        <v>1709</v>
      </c>
      <c r="I6" s="40" t="s">
        <v>1710</v>
      </c>
      <c r="J6" s="40"/>
      <c r="K6" s="40"/>
      <c r="L6" s="40"/>
      <c r="M6" s="42"/>
    </row>
    <row r="7" spans="1:13" x14ac:dyDescent="0.25">
      <c r="A7" s="40" t="s">
        <v>1631</v>
      </c>
      <c r="B7" s="40" t="s">
        <v>1632</v>
      </c>
      <c r="C7" s="41">
        <v>45568</v>
      </c>
      <c r="D7" s="74">
        <v>45572</v>
      </c>
      <c r="E7" s="52">
        <f t="shared" si="0"/>
        <v>5</v>
      </c>
      <c r="F7" s="40">
        <v>28</v>
      </c>
      <c r="G7" s="40" t="s">
        <v>14</v>
      </c>
      <c r="H7" s="40" t="s">
        <v>1633</v>
      </c>
      <c r="I7" s="40" t="s">
        <v>1201</v>
      </c>
      <c r="J7" s="67"/>
      <c r="K7" s="40"/>
      <c r="L7" s="40"/>
      <c r="M7" s="42"/>
    </row>
    <row r="8" spans="1:13" s="19" customFormat="1" x14ac:dyDescent="0.25">
      <c r="A8" s="40" t="s">
        <v>1685</v>
      </c>
      <c r="B8" s="40" t="s">
        <v>1686</v>
      </c>
      <c r="C8" s="41">
        <v>45568</v>
      </c>
      <c r="D8" s="74">
        <v>45581</v>
      </c>
      <c r="E8" s="52">
        <f t="shared" si="0"/>
        <v>14</v>
      </c>
      <c r="F8" s="40">
        <v>25</v>
      </c>
      <c r="G8" s="40" t="s">
        <v>12</v>
      </c>
      <c r="H8" s="40" t="s">
        <v>1687</v>
      </c>
      <c r="I8" s="75" t="s">
        <v>266</v>
      </c>
      <c r="J8" s="67"/>
      <c r="K8" s="40"/>
      <c r="L8" s="40"/>
      <c r="M8" s="42"/>
    </row>
    <row r="9" spans="1:13" x14ac:dyDescent="0.25">
      <c r="A9" s="40" t="s">
        <v>1792</v>
      </c>
      <c r="B9" s="40" t="s">
        <v>1838</v>
      </c>
      <c r="C9" s="41">
        <v>45569</v>
      </c>
      <c r="D9" s="41">
        <v>45579</v>
      </c>
      <c r="E9" s="52">
        <f t="shared" si="0"/>
        <v>11</v>
      </c>
      <c r="F9" s="40">
        <v>45</v>
      </c>
      <c r="G9" s="40" t="s">
        <v>12</v>
      </c>
      <c r="H9" s="40" t="s">
        <v>1730</v>
      </c>
      <c r="I9" s="40" t="s">
        <v>1718</v>
      </c>
      <c r="J9" s="40"/>
      <c r="K9" s="40"/>
      <c r="L9" s="40"/>
      <c r="M9" s="42"/>
    </row>
    <row r="10" spans="1:13" s="118" customFormat="1" x14ac:dyDescent="0.25">
      <c r="A10" s="113" t="s">
        <v>1676</v>
      </c>
      <c r="B10" s="113" t="s">
        <v>1677</v>
      </c>
      <c r="C10" s="114">
        <v>45571</v>
      </c>
      <c r="D10" s="121">
        <v>45572</v>
      </c>
      <c r="E10" s="116">
        <f t="shared" si="0"/>
        <v>2</v>
      </c>
      <c r="F10" s="113">
        <v>55</v>
      </c>
      <c r="G10" s="113" t="s">
        <v>12</v>
      </c>
      <c r="H10" s="113" t="s">
        <v>1678</v>
      </c>
      <c r="I10" s="119" t="s">
        <v>145</v>
      </c>
      <c r="J10" s="117" t="s">
        <v>13</v>
      </c>
      <c r="K10" s="113"/>
      <c r="L10" s="113"/>
    </row>
    <row r="11" spans="1:13" x14ac:dyDescent="0.25">
      <c r="A11" s="40" t="s">
        <v>1728</v>
      </c>
      <c r="B11" s="40" t="s">
        <v>1729</v>
      </c>
      <c r="C11" s="41">
        <v>45572</v>
      </c>
      <c r="D11" s="41">
        <v>45583</v>
      </c>
      <c r="E11" s="52">
        <f t="shared" si="0"/>
        <v>12</v>
      </c>
      <c r="F11" s="40">
        <v>45</v>
      </c>
      <c r="G11" s="40" t="s">
        <v>12</v>
      </c>
      <c r="H11" s="40" t="s">
        <v>1730</v>
      </c>
      <c r="I11" s="75" t="s">
        <v>16</v>
      </c>
      <c r="J11" s="40"/>
      <c r="K11" s="40"/>
      <c r="L11" s="40"/>
      <c r="M11" s="42"/>
    </row>
    <row r="12" spans="1:13" x14ac:dyDescent="0.25">
      <c r="A12" s="40" t="s">
        <v>1711</v>
      </c>
      <c r="B12" s="40" t="s">
        <v>1712</v>
      </c>
      <c r="C12" s="41">
        <v>45572</v>
      </c>
      <c r="D12" s="74">
        <v>45575</v>
      </c>
      <c r="E12" s="52">
        <f t="shared" si="0"/>
        <v>4</v>
      </c>
      <c r="F12" s="40">
        <v>25</v>
      </c>
      <c r="G12" s="40" t="s">
        <v>14</v>
      </c>
      <c r="H12" s="40" t="s">
        <v>1713</v>
      </c>
      <c r="I12" s="40" t="s">
        <v>1714</v>
      </c>
      <c r="J12" s="67"/>
      <c r="K12" s="40"/>
      <c r="L12" s="40"/>
      <c r="M12" s="42"/>
    </row>
    <row r="13" spans="1:13" x14ac:dyDescent="0.25">
      <c r="A13" s="122" t="s">
        <v>1738</v>
      </c>
      <c r="B13" s="40" t="s">
        <v>1739</v>
      </c>
      <c r="C13" s="41">
        <v>45572</v>
      </c>
      <c r="D13" s="41">
        <v>45594</v>
      </c>
      <c r="E13" s="52">
        <f t="shared" si="0"/>
        <v>23</v>
      </c>
      <c r="F13" s="40">
        <v>28</v>
      </c>
      <c r="G13" s="40" t="s">
        <v>12</v>
      </c>
      <c r="H13" s="40" t="s">
        <v>1740</v>
      </c>
      <c r="I13" s="40" t="s">
        <v>1741</v>
      </c>
      <c r="J13" s="40"/>
      <c r="K13" s="40"/>
      <c r="L13" s="40"/>
      <c r="M13" s="42"/>
    </row>
    <row r="14" spans="1:13" x14ac:dyDescent="0.25">
      <c r="A14" s="40" t="s">
        <v>1627</v>
      </c>
      <c r="B14" s="40" t="s">
        <v>1628</v>
      </c>
      <c r="C14" s="41">
        <v>45572</v>
      </c>
      <c r="D14" s="74">
        <v>45576</v>
      </c>
      <c r="E14" s="52">
        <f t="shared" si="0"/>
        <v>5</v>
      </c>
      <c r="F14" s="40">
        <v>73</v>
      </c>
      <c r="G14" s="40" t="s">
        <v>14</v>
      </c>
      <c r="H14" s="40" t="s">
        <v>1629</v>
      </c>
      <c r="I14" s="40" t="s">
        <v>1093</v>
      </c>
      <c r="J14" s="67"/>
      <c r="K14" s="40"/>
      <c r="L14" s="40"/>
      <c r="M14" s="42"/>
    </row>
    <row r="15" spans="1:13" x14ac:dyDescent="0.25">
      <c r="A15" s="40" t="s">
        <v>1731</v>
      </c>
      <c r="B15" s="40" t="s">
        <v>1732</v>
      </c>
      <c r="C15" s="41">
        <v>45573</v>
      </c>
      <c r="D15" s="48">
        <v>45575</v>
      </c>
      <c r="E15" s="52">
        <f t="shared" si="0"/>
        <v>3</v>
      </c>
      <c r="F15" s="40">
        <v>15</v>
      </c>
      <c r="G15" s="40" t="s">
        <v>12</v>
      </c>
      <c r="H15" s="40" t="s">
        <v>1733</v>
      </c>
      <c r="I15" s="40" t="s">
        <v>1734</v>
      </c>
      <c r="J15" s="67" t="s">
        <v>13</v>
      </c>
      <c r="K15" s="40"/>
      <c r="L15" s="40"/>
      <c r="M15" s="42"/>
    </row>
    <row r="16" spans="1:13" s="118" customFormat="1" x14ac:dyDescent="0.25">
      <c r="A16" s="113" t="s">
        <v>1635</v>
      </c>
      <c r="B16" s="113" t="s">
        <v>1679</v>
      </c>
      <c r="C16" s="114">
        <v>45573</v>
      </c>
      <c r="D16" s="121">
        <v>45574</v>
      </c>
      <c r="E16" s="116">
        <f t="shared" si="0"/>
        <v>2</v>
      </c>
      <c r="F16" s="113">
        <v>44</v>
      </c>
      <c r="G16" s="113" t="s">
        <v>12</v>
      </c>
      <c r="H16" s="113" t="s">
        <v>1680</v>
      </c>
      <c r="I16" s="119" t="s">
        <v>145</v>
      </c>
      <c r="J16" s="117" t="s">
        <v>13</v>
      </c>
      <c r="K16" s="113"/>
      <c r="L16" s="113"/>
    </row>
    <row r="17" spans="1:13" s="65" customFormat="1" x14ac:dyDescent="0.25">
      <c r="A17" s="60" t="s">
        <v>1722</v>
      </c>
      <c r="B17" s="60" t="s">
        <v>1723</v>
      </c>
      <c r="C17" s="61">
        <v>45573</v>
      </c>
      <c r="D17" s="61">
        <v>45579</v>
      </c>
      <c r="E17" s="63">
        <f t="shared" si="0"/>
        <v>7</v>
      </c>
      <c r="F17" s="60">
        <v>34</v>
      </c>
      <c r="G17" s="60" t="s">
        <v>12</v>
      </c>
      <c r="H17" s="60" t="s">
        <v>1724</v>
      </c>
      <c r="I17" s="77" t="s">
        <v>1725</v>
      </c>
      <c r="J17" s="60"/>
      <c r="K17" s="60"/>
      <c r="L17" s="60"/>
    </row>
    <row r="18" spans="1:13" x14ac:dyDescent="0.25">
      <c r="A18" s="40" t="s">
        <v>1719</v>
      </c>
      <c r="B18" s="40" t="s">
        <v>1720</v>
      </c>
      <c r="C18" s="41">
        <v>45574</v>
      </c>
      <c r="D18" s="41">
        <v>45581</v>
      </c>
      <c r="E18" s="52">
        <f t="shared" si="0"/>
        <v>8</v>
      </c>
      <c r="F18" s="40">
        <v>18</v>
      </c>
      <c r="G18" s="40" t="s">
        <v>12</v>
      </c>
      <c r="H18" s="40" t="s">
        <v>1721</v>
      </c>
      <c r="I18" s="40" t="s">
        <v>27</v>
      </c>
      <c r="J18" s="40"/>
      <c r="K18" s="40"/>
      <c r="L18" s="40"/>
      <c r="M18" s="42"/>
    </row>
    <row r="19" spans="1:13" s="65" customFormat="1" x14ac:dyDescent="0.25">
      <c r="A19" s="60" t="s">
        <v>1636</v>
      </c>
      <c r="B19" s="60" t="s">
        <v>78</v>
      </c>
      <c r="C19" s="61">
        <v>45574</v>
      </c>
      <c r="D19" s="61">
        <v>45581</v>
      </c>
      <c r="E19" s="63">
        <f t="shared" si="0"/>
        <v>8</v>
      </c>
      <c r="F19" s="60">
        <v>61</v>
      </c>
      <c r="G19" s="60" t="s">
        <v>12</v>
      </c>
      <c r="H19" s="60" t="s">
        <v>1637</v>
      </c>
      <c r="I19" s="60" t="s">
        <v>1638</v>
      </c>
      <c r="J19" s="60"/>
      <c r="K19" s="60"/>
      <c r="L19" s="60"/>
    </row>
    <row r="20" spans="1:13" x14ac:dyDescent="0.25">
      <c r="A20" s="40" t="s">
        <v>1646</v>
      </c>
      <c r="B20" s="40" t="s">
        <v>1647</v>
      </c>
      <c r="C20" s="41">
        <v>45574</v>
      </c>
      <c r="D20" s="74">
        <v>45586</v>
      </c>
      <c r="E20" s="52">
        <f t="shared" si="0"/>
        <v>13</v>
      </c>
      <c r="F20" s="40">
        <v>49</v>
      </c>
      <c r="G20" s="40" t="s">
        <v>14</v>
      </c>
      <c r="H20" s="40" t="s">
        <v>1648</v>
      </c>
      <c r="I20" s="40" t="s">
        <v>576</v>
      </c>
      <c r="J20" s="67"/>
      <c r="K20" s="40"/>
      <c r="L20" s="40"/>
      <c r="M20" s="42"/>
    </row>
    <row r="21" spans="1:13" s="65" customFormat="1" x14ac:dyDescent="0.25">
      <c r="A21" s="60" t="s">
        <v>1650</v>
      </c>
      <c r="B21" s="60" t="s">
        <v>1651</v>
      </c>
      <c r="C21" s="61">
        <v>45574</v>
      </c>
      <c r="D21" s="61">
        <v>45579</v>
      </c>
      <c r="E21" s="63">
        <f t="shared" si="0"/>
        <v>6</v>
      </c>
      <c r="F21" s="60">
        <v>33</v>
      </c>
      <c r="G21" s="60" t="s">
        <v>12</v>
      </c>
      <c r="H21" s="60" t="s">
        <v>1652</v>
      </c>
      <c r="I21" s="60" t="s">
        <v>1653</v>
      </c>
      <c r="J21" s="60"/>
      <c r="K21" s="60"/>
      <c r="L21" s="60"/>
    </row>
    <row r="22" spans="1:13" s="65" customFormat="1" x14ac:dyDescent="0.25">
      <c r="A22" s="60" t="s">
        <v>1681</v>
      </c>
      <c r="B22" s="60" t="s">
        <v>1682</v>
      </c>
      <c r="C22" s="61">
        <v>45574</v>
      </c>
      <c r="D22" s="61">
        <v>45581</v>
      </c>
      <c r="E22" s="63">
        <f t="shared" si="0"/>
        <v>8</v>
      </c>
      <c r="F22" s="60">
        <v>38</v>
      </c>
      <c r="G22" s="60" t="s">
        <v>12</v>
      </c>
      <c r="H22" s="60" t="s">
        <v>1683</v>
      </c>
      <c r="I22" s="60" t="s">
        <v>1684</v>
      </c>
      <c r="J22" s="60"/>
      <c r="K22" s="60"/>
      <c r="L22" s="60"/>
    </row>
    <row r="23" spans="1:13" x14ac:dyDescent="0.25">
      <c r="A23" s="40" t="s">
        <v>1758</v>
      </c>
      <c r="B23" s="40" t="s">
        <v>1759</v>
      </c>
      <c r="C23" s="41">
        <v>45575</v>
      </c>
      <c r="D23" s="74">
        <v>45594</v>
      </c>
      <c r="E23" s="52">
        <f t="shared" si="0"/>
        <v>20</v>
      </c>
      <c r="F23" s="40">
        <v>17</v>
      </c>
      <c r="G23" s="40" t="s">
        <v>12</v>
      </c>
      <c r="H23" s="40" t="s">
        <v>1760</v>
      </c>
      <c r="I23" s="40" t="s">
        <v>266</v>
      </c>
      <c r="J23" s="67"/>
      <c r="K23" s="40"/>
      <c r="L23" s="40"/>
      <c r="M23" s="42"/>
    </row>
    <row r="24" spans="1:13" x14ac:dyDescent="0.25">
      <c r="A24" s="40" t="s">
        <v>1699</v>
      </c>
      <c r="B24" s="40" t="s">
        <v>1700</v>
      </c>
      <c r="C24" s="41">
        <v>45579</v>
      </c>
      <c r="D24" s="41">
        <v>45593</v>
      </c>
      <c r="E24" s="52">
        <f t="shared" si="0"/>
        <v>15</v>
      </c>
      <c r="F24" s="40">
        <v>72</v>
      </c>
      <c r="G24" s="40" t="s">
        <v>12</v>
      </c>
      <c r="H24" s="40" t="s">
        <v>1701</v>
      </c>
      <c r="I24" s="40" t="s">
        <v>1702</v>
      </c>
      <c r="J24" s="40"/>
      <c r="K24" s="40"/>
      <c r="L24" s="40"/>
      <c r="M24" s="42"/>
    </row>
    <row r="25" spans="1:13" x14ac:dyDescent="0.25">
      <c r="A25" s="40" t="s">
        <v>1658</v>
      </c>
      <c r="B25" s="40" t="s">
        <v>1659</v>
      </c>
      <c r="C25" s="41">
        <v>45580</v>
      </c>
      <c r="D25" s="48">
        <v>45583</v>
      </c>
      <c r="E25" s="52">
        <f t="shared" si="0"/>
        <v>4</v>
      </c>
      <c r="F25" s="40">
        <v>53</v>
      </c>
      <c r="G25" s="40" t="s">
        <v>14</v>
      </c>
      <c r="H25" s="40" t="s">
        <v>1660</v>
      </c>
      <c r="I25" s="40" t="s">
        <v>1661</v>
      </c>
      <c r="J25" s="67" t="s">
        <v>13</v>
      </c>
      <c r="K25" s="40"/>
      <c r="L25" s="40"/>
      <c r="M25" s="42"/>
    </row>
    <row r="26" spans="1:13" s="65" customFormat="1" x14ac:dyDescent="0.25">
      <c r="A26" s="60" t="s">
        <v>1696</v>
      </c>
      <c r="B26" s="60" t="s">
        <v>1697</v>
      </c>
      <c r="C26" s="61">
        <v>45580</v>
      </c>
      <c r="D26" s="76">
        <v>45581</v>
      </c>
      <c r="E26" s="63">
        <f t="shared" si="0"/>
        <v>2</v>
      </c>
      <c r="F26" s="60">
        <v>92</v>
      </c>
      <c r="G26" s="60" t="s">
        <v>14</v>
      </c>
      <c r="H26" s="60" t="s">
        <v>1698</v>
      </c>
      <c r="I26" s="77" t="s">
        <v>965</v>
      </c>
      <c r="J26" s="77" t="s">
        <v>13</v>
      </c>
      <c r="K26" s="60"/>
      <c r="L26" s="60"/>
    </row>
    <row r="27" spans="1:13" x14ac:dyDescent="0.25">
      <c r="A27" s="40" t="s">
        <v>1703</v>
      </c>
      <c r="B27" s="40" t="s">
        <v>1704</v>
      </c>
      <c r="C27" s="41">
        <v>45580</v>
      </c>
      <c r="D27" s="41">
        <v>45586</v>
      </c>
      <c r="E27" s="52">
        <f t="shared" si="0"/>
        <v>7</v>
      </c>
      <c r="F27" s="40">
        <v>40</v>
      </c>
      <c r="G27" s="40" t="s">
        <v>12</v>
      </c>
      <c r="H27" s="40" t="s">
        <v>1705</v>
      </c>
      <c r="I27" s="40" t="s">
        <v>1706</v>
      </c>
      <c r="J27" s="40"/>
      <c r="K27" s="40"/>
      <c r="L27" s="40"/>
      <c r="M27" s="42"/>
    </row>
    <row r="28" spans="1:13" x14ac:dyDescent="0.25">
      <c r="A28" s="40" t="s">
        <v>1662</v>
      </c>
      <c r="B28" s="40" t="s">
        <v>1663</v>
      </c>
      <c r="C28" s="41">
        <v>45580</v>
      </c>
      <c r="D28" s="41">
        <v>45590</v>
      </c>
      <c r="E28" s="52">
        <f t="shared" si="0"/>
        <v>11</v>
      </c>
      <c r="F28" s="40">
        <v>26</v>
      </c>
      <c r="G28" s="40" t="s">
        <v>12</v>
      </c>
      <c r="H28" s="40" t="s">
        <v>1664</v>
      </c>
      <c r="I28" s="40" t="s">
        <v>16</v>
      </c>
      <c r="J28" s="40"/>
      <c r="K28" s="40"/>
      <c r="L28" s="40"/>
      <c r="M28" s="42"/>
    </row>
    <row r="29" spans="1:13" x14ac:dyDescent="0.25">
      <c r="A29" s="40" t="s">
        <v>1795</v>
      </c>
      <c r="B29" s="40" t="s">
        <v>1796</v>
      </c>
      <c r="C29" s="41">
        <v>45580</v>
      </c>
      <c r="D29" s="41">
        <v>45600</v>
      </c>
      <c r="E29" s="52">
        <f t="shared" si="0"/>
        <v>21</v>
      </c>
      <c r="F29" s="40">
        <v>28</v>
      </c>
      <c r="G29" s="40" t="s">
        <v>12</v>
      </c>
      <c r="H29" s="40" t="s">
        <v>1797</v>
      </c>
      <c r="I29" s="40" t="s">
        <v>1899</v>
      </c>
      <c r="J29" s="40"/>
      <c r="K29" s="40"/>
      <c r="L29" s="40"/>
      <c r="M29" s="42"/>
    </row>
    <row r="30" spans="1:13" x14ac:dyDescent="0.25">
      <c r="A30" s="40" t="s">
        <v>1668</v>
      </c>
      <c r="B30" s="40" t="s">
        <v>1669</v>
      </c>
      <c r="C30" s="41">
        <v>45581</v>
      </c>
      <c r="D30" s="48">
        <v>45589</v>
      </c>
      <c r="E30" s="52">
        <f t="shared" si="0"/>
        <v>9</v>
      </c>
      <c r="F30" s="40">
        <v>45</v>
      </c>
      <c r="G30" s="40" t="s">
        <v>14</v>
      </c>
      <c r="H30" s="40" t="s">
        <v>1670</v>
      </c>
      <c r="I30" s="40" t="s">
        <v>1671</v>
      </c>
      <c r="J30" s="67" t="s">
        <v>13</v>
      </c>
      <c r="K30" s="40"/>
      <c r="L30" s="40"/>
      <c r="M30" s="42"/>
    </row>
    <row r="31" spans="1:13" s="65" customFormat="1" x14ac:dyDescent="0.25">
      <c r="A31" s="60" t="s">
        <v>1654</v>
      </c>
      <c r="B31" s="60" t="s">
        <v>1655</v>
      </c>
      <c r="C31" s="61">
        <v>45582</v>
      </c>
      <c r="D31" s="61">
        <v>45586</v>
      </c>
      <c r="E31" s="63">
        <f t="shared" si="0"/>
        <v>5</v>
      </c>
      <c r="F31" s="60">
        <v>29</v>
      </c>
      <c r="G31" s="60" t="s">
        <v>12</v>
      </c>
      <c r="H31" s="60" t="s">
        <v>1656</v>
      </c>
      <c r="I31" s="77" t="s">
        <v>1657</v>
      </c>
      <c r="J31" s="60"/>
      <c r="K31" s="60"/>
      <c r="L31" s="60"/>
    </row>
    <row r="32" spans="1:13" x14ac:dyDescent="0.25">
      <c r="A32" s="40" t="s">
        <v>1642</v>
      </c>
      <c r="B32" s="40" t="s">
        <v>1643</v>
      </c>
      <c r="C32" s="41">
        <v>45582</v>
      </c>
      <c r="D32" s="74">
        <v>45583</v>
      </c>
      <c r="E32" s="52">
        <f t="shared" si="0"/>
        <v>2</v>
      </c>
      <c r="F32" s="40">
        <v>52</v>
      </c>
      <c r="G32" s="40" t="s">
        <v>14</v>
      </c>
      <c r="H32" s="40" t="s">
        <v>1645</v>
      </c>
      <c r="I32" s="40" t="s">
        <v>1644</v>
      </c>
      <c r="J32" s="67"/>
      <c r="K32" s="40"/>
      <c r="L32" s="40"/>
      <c r="M32" s="42"/>
    </row>
    <row r="33" spans="1:13" x14ac:dyDescent="0.25">
      <c r="A33" s="40" t="s">
        <v>1788</v>
      </c>
      <c r="B33" s="40" t="s">
        <v>1789</v>
      </c>
      <c r="C33" s="41">
        <v>45583</v>
      </c>
      <c r="D33" s="41">
        <v>45588</v>
      </c>
      <c r="E33" s="52">
        <f t="shared" si="0"/>
        <v>6</v>
      </c>
      <c r="F33" s="40">
        <v>42</v>
      </c>
      <c r="G33" s="40" t="s">
        <v>12</v>
      </c>
      <c r="H33" s="40" t="s">
        <v>1790</v>
      </c>
      <c r="I33" s="40" t="s">
        <v>1791</v>
      </c>
      <c r="J33" s="40"/>
      <c r="K33" s="40"/>
      <c r="L33" s="40"/>
      <c r="M33" s="42"/>
    </row>
    <row r="34" spans="1:13" x14ac:dyDescent="0.25">
      <c r="A34" s="40" t="s">
        <v>1772</v>
      </c>
      <c r="B34" s="40" t="s">
        <v>1773</v>
      </c>
      <c r="C34" s="41">
        <v>45584</v>
      </c>
      <c r="D34" s="74">
        <v>45595</v>
      </c>
      <c r="E34" s="52">
        <f t="shared" si="0"/>
        <v>12</v>
      </c>
      <c r="F34" s="40">
        <v>70</v>
      </c>
      <c r="G34" s="40" t="s">
        <v>14</v>
      </c>
      <c r="H34" s="40" t="s">
        <v>1774</v>
      </c>
      <c r="I34" s="40" t="s">
        <v>1718</v>
      </c>
      <c r="J34" s="67"/>
      <c r="K34" s="40"/>
      <c r="L34" s="40"/>
      <c r="M34" s="42"/>
    </row>
    <row r="35" spans="1:13" x14ac:dyDescent="0.25">
      <c r="A35" s="40" t="s">
        <v>1798</v>
      </c>
      <c r="B35" s="40" t="s">
        <v>574</v>
      </c>
      <c r="C35" s="41">
        <v>45585</v>
      </c>
      <c r="D35" s="74">
        <v>45607</v>
      </c>
      <c r="E35" s="52">
        <f t="shared" si="0"/>
        <v>23</v>
      </c>
      <c r="F35" s="40">
        <v>80</v>
      </c>
      <c r="G35" s="40" t="s">
        <v>14</v>
      </c>
      <c r="H35" s="68" t="s">
        <v>1799</v>
      </c>
      <c r="I35" s="40" t="s">
        <v>1900</v>
      </c>
      <c r="J35" s="67"/>
      <c r="K35" s="40"/>
      <c r="L35" s="40"/>
      <c r="M35" s="42"/>
    </row>
    <row r="36" spans="1:13" x14ac:dyDescent="0.25">
      <c r="A36" s="40" t="s">
        <v>1754</v>
      </c>
      <c r="B36" s="40" t="s">
        <v>1755</v>
      </c>
      <c r="C36" s="41">
        <v>45585</v>
      </c>
      <c r="D36" s="41">
        <v>45595</v>
      </c>
      <c r="E36" s="52">
        <f t="shared" si="0"/>
        <v>11</v>
      </c>
      <c r="F36" s="40">
        <v>35</v>
      </c>
      <c r="G36" s="40" t="s">
        <v>12</v>
      </c>
      <c r="H36" s="68" t="s">
        <v>1756</v>
      </c>
      <c r="I36" s="40" t="s">
        <v>1757</v>
      </c>
      <c r="J36" s="40"/>
      <c r="K36" s="40"/>
      <c r="L36" s="40"/>
      <c r="M36" s="42"/>
    </row>
    <row r="37" spans="1:13" x14ac:dyDescent="0.25">
      <c r="A37" s="40" t="s">
        <v>1800</v>
      </c>
      <c r="B37" s="40" t="s">
        <v>1640</v>
      </c>
      <c r="C37" s="41">
        <v>45586</v>
      </c>
      <c r="D37" s="41">
        <v>45589</v>
      </c>
      <c r="E37" s="52">
        <f t="shared" ref="E37:E38" si="1">D37-C37+1</f>
        <v>4</v>
      </c>
      <c r="F37" s="40">
        <v>49</v>
      </c>
      <c r="G37" s="40" t="s">
        <v>12</v>
      </c>
      <c r="H37" s="68" t="s">
        <v>1641</v>
      </c>
      <c r="I37" s="40" t="s">
        <v>1093</v>
      </c>
      <c r="J37" s="67"/>
      <c r="K37" s="40"/>
      <c r="L37" s="40"/>
      <c r="M37" s="42"/>
    </row>
    <row r="38" spans="1:13" x14ac:dyDescent="0.25">
      <c r="A38" s="40" t="s">
        <v>1639</v>
      </c>
      <c r="B38" s="40" t="s">
        <v>1665</v>
      </c>
      <c r="C38" s="41">
        <v>45586</v>
      </c>
      <c r="D38" s="41">
        <v>45590</v>
      </c>
      <c r="E38" s="52">
        <f t="shared" si="1"/>
        <v>5</v>
      </c>
      <c r="F38" s="40">
        <v>86</v>
      </c>
      <c r="G38" s="40" t="s">
        <v>14</v>
      </c>
      <c r="H38" s="68" t="s">
        <v>1666</v>
      </c>
      <c r="I38" s="40" t="s">
        <v>1667</v>
      </c>
      <c r="J38" s="40"/>
      <c r="K38" s="40"/>
      <c r="L38" s="40"/>
      <c r="M38" s="42"/>
    </row>
    <row r="39" spans="1:13" x14ac:dyDescent="0.25">
      <c r="A39" s="40" t="s">
        <v>1801</v>
      </c>
      <c r="B39" s="40" t="s">
        <v>1802</v>
      </c>
      <c r="C39" s="41">
        <v>45586</v>
      </c>
      <c r="D39" s="48">
        <v>45617</v>
      </c>
      <c r="E39" s="52">
        <f t="shared" si="0"/>
        <v>32</v>
      </c>
      <c r="F39" s="40">
        <v>49</v>
      </c>
      <c r="G39" s="40" t="s">
        <v>12</v>
      </c>
      <c r="H39" s="68" t="s">
        <v>1803</v>
      </c>
      <c r="I39" s="40" t="s">
        <v>1922</v>
      </c>
      <c r="J39" s="67" t="s">
        <v>13</v>
      </c>
      <c r="K39" s="40"/>
      <c r="L39" s="40"/>
      <c r="M39" s="42"/>
    </row>
    <row r="40" spans="1:13" x14ac:dyDescent="0.25">
      <c r="A40" s="40" t="s">
        <v>1692</v>
      </c>
      <c r="B40" s="40" t="s">
        <v>1693</v>
      </c>
      <c r="C40" s="41">
        <v>45581</v>
      </c>
      <c r="D40" s="74">
        <v>45583</v>
      </c>
      <c r="E40" s="52">
        <f t="shared" si="0"/>
        <v>3</v>
      </c>
      <c r="F40" s="40">
        <v>20</v>
      </c>
      <c r="G40" s="40" t="s">
        <v>12</v>
      </c>
      <c r="H40" s="40" t="s">
        <v>1694</v>
      </c>
      <c r="I40" s="40" t="s">
        <v>1695</v>
      </c>
      <c r="J40" s="67"/>
      <c r="K40" s="40"/>
      <c r="L40" s="40"/>
      <c r="M40" s="42"/>
    </row>
    <row r="41" spans="1:13" s="65" customFormat="1" x14ac:dyDescent="0.25">
      <c r="A41" s="60" t="s">
        <v>1735</v>
      </c>
      <c r="B41" s="60" t="s">
        <v>779</v>
      </c>
      <c r="C41" s="61">
        <v>45587</v>
      </c>
      <c r="D41" s="62">
        <v>45589</v>
      </c>
      <c r="E41" s="63">
        <f t="shared" si="0"/>
        <v>3</v>
      </c>
      <c r="F41" s="60">
        <v>30</v>
      </c>
      <c r="G41" s="60" t="s">
        <v>12</v>
      </c>
      <c r="H41" s="60" t="s">
        <v>1736</v>
      </c>
      <c r="I41" s="60" t="s">
        <v>1737</v>
      </c>
      <c r="J41" s="77" t="s">
        <v>45</v>
      </c>
      <c r="K41" s="60"/>
      <c r="L41" s="60"/>
    </row>
    <row r="42" spans="1:13" s="65" customFormat="1" x14ac:dyDescent="0.25">
      <c r="A42" s="60" t="s">
        <v>1804</v>
      </c>
      <c r="B42" s="60" t="s">
        <v>83</v>
      </c>
      <c r="C42" s="61">
        <v>45588</v>
      </c>
      <c r="D42" s="61">
        <v>45596</v>
      </c>
      <c r="E42" s="63">
        <f t="shared" si="0"/>
        <v>9</v>
      </c>
      <c r="F42" s="60">
        <v>20</v>
      </c>
      <c r="G42" s="60" t="s">
        <v>14</v>
      </c>
      <c r="H42" s="60" t="s">
        <v>1805</v>
      </c>
      <c r="I42" s="77" t="s">
        <v>1806</v>
      </c>
      <c r="J42" s="60"/>
      <c r="K42" s="60"/>
      <c r="L42" s="60"/>
    </row>
    <row r="43" spans="1:13" x14ac:dyDescent="0.25">
      <c r="A43" s="40" t="s">
        <v>1750</v>
      </c>
      <c r="B43" s="40" t="s">
        <v>1751</v>
      </c>
      <c r="C43" s="41">
        <v>45588</v>
      </c>
      <c r="D43" s="74">
        <v>45595</v>
      </c>
      <c r="E43" s="52">
        <f t="shared" si="0"/>
        <v>8</v>
      </c>
      <c r="F43" s="40">
        <v>39</v>
      </c>
      <c r="G43" s="40" t="s">
        <v>14</v>
      </c>
      <c r="H43" s="40" t="s">
        <v>1752</v>
      </c>
      <c r="I43" s="40" t="s">
        <v>1753</v>
      </c>
      <c r="J43" s="67"/>
      <c r="K43" s="40"/>
      <c r="L43" s="40"/>
      <c r="M43" s="42"/>
    </row>
    <row r="44" spans="1:13" x14ac:dyDescent="0.25">
      <c r="A44" s="40" t="s">
        <v>1742</v>
      </c>
      <c r="B44" s="40" t="s">
        <v>1743</v>
      </c>
      <c r="C44" s="41">
        <v>45588</v>
      </c>
      <c r="D44" s="41">
        <v>45596</v>
      </c>
      <c r="E44" s="52">
        <f t="shared" si="0"/>
        <v>9</v>
      </c>
      <c r="F44" s="40">
        <v>61</v>
      </c>
      <c r="G44" s="40" t="s">
        <v>12</v>
      </c>
      <c r="H44" s="40" t="s">
        <v>1744</v>
      </c>
      <c r="I44" s="40" t="s">
        <v>1745</v>
      </c>
      <c r="J44" s="40"/>
      <c r="K44" s="40"/>
      <c r="L44" s="40"/>
      <c r="M44" s="42"/>
    </row>
    <row r="45" spans="1:13" x14ac:dyDescent="0.25">
      <c r="A45" s="40" t="s">
        <v>1746</v>
      </c>
      <c r="B45" s="40" t="s">
        <v>1747</v>
      </c>
      <c r="C45" s="41">
        <v>45586</v>
      </c>
      <c r="D45" s="41">
        <v>45595</v>
      </c>
      <c r="E45" s="52">
        <f t="shared" si="0"/>
        <v>10</v>
      </c>
      <c r="F45" s="40">
        <v>41</v>
      </c>
      <c r="G45" s="40" t="s">
        <v>14</v>
      </c>
      <c r="H45" s="40" t="s">
        <v>1748</v>
      </c>
      <c r="I45" s="40" t="s">
        <v>1749</v>
      </c>
      <c r="J45" s="87"/>
      <c r="K45" s="40"/>
      <c r="L45" s="40"/>
      <c r="M45" s="42"/>
    </row>
    <row r="46" spans="1:13" x14ac:dyDescent="0.25">
      <c r="A46" s="40" t="s">
        <v>1765</v>
      </c>
      <c r="B46" s="40" t="s">
        <v>1766</v>
      </c>
      <c r="C46" s="41">
        <v>45589</v>
      </c>
      <c r="D46" s="41">
        <v>45595</v>
      </c>
      <c r="E46" s="52">
        <f t="shared" si="0"/>
        <v>7</v>
      </c>
      <c r="F46" s="40">
        <v>47</v>
      </c>
      <c r="G46" s="40" t="s">
        <v>14</v>
      </c>
      <c r="H46" s="40" t="s">
        <v>1767</v>
      </c>
      <c r="I46" s="40" t="s">
        <v>1768</v>
      </c>
      <c r="J46" s="40"/>
      <c r="K46" s="40"/>
      <c r="L46" s="40"/>
      <c r="M46" s="42"/>
    </row>
    <row r="47" spans="1:13" x14ac:dyDescent="0.25">
      <c r="A47" s="40" t="s">
        <v>1807</v>
      </c>
      <c r="B47" s="40" t="s">
        <v>1808</v>
      </c>
      <c r="C47" s="41">
        <v>45589</v>
      </c>
      <c r="D47" s="41">
        <v>45603</v>
      </c>
      <c r="E47" s="52">
        <f t="shared" si="0"/>
        <v>15</v>
      </c>
      <c r="F47" s="40">
        <v>22</v>
      </c>
      <c r="G47" s="40" t="s">
        <v>12</v>
      </c>
      <c r="H47" s="40" t="s">
        <v>1809</v>
      </c>
      <c r="I47" s="40" t="s">
        <v>21</v>
      </c>
      <c r="J47" s="40"/>
      <c r="K47" s="40"/>
      <c r="L47" s="40"/>
      <c r="M47" s="42"/>
    </row>
    <row r="48" spans="1:13" s="65" customFormat="1" x14ac:dyDescent="0.25">
      <c r="A48" s="60" t="s">
        <v>1810</v>
      </c>
      <c r="B48" s="60" t="s">
        <v>1811</v>
      </c>
      <c r="C48" s="61">
        <v>45590</v>
      </c>
      <c r="D48" s="61">
        <v>45602</v>
      </c>
      <c r="E48" s="63">
        <f t="shared" si="0"/>
        <v>13</v>
      </c>
      <c r="F48" s="60">
        <v>25</v>
      </c>
      <c r="G48" s="60" t="s">
        <v>12</v>
      </c>
      <c r="H48" s="60" t="s">
        <v>1812</v>
      </c>
      <c r="I48" s="77" t="s">
        <v>965</v>
      </c>
      <c r="J48" s="60"/>
      <c r="K48" s="60"/>
      <c r="L48" s="60"/>
    </row>
    <row r="49" spans="1:13" x14ac:dyDescent="0.25">
      <c r="A49" s="40" t="s">
        <v>1779</v>
      </c>
      <c r="B49" s="40" t="s">
        <v>1780</v>
      </c>
      <c r="C49" s="41">
        <v>45590</v>
      </c>
      <c r="D49" s="41">
        <v>45596</v>
      </c>
      <c r="E49" s="52">
        <f t="shared" si="0"/>
        <v>7</v>
      </c>
      <c r="F49" s="40">
        <v>28</v>
      </c>
      <c r="G49" s="40" t="s">
        <v>14</v>
      </c>
      <c r="H49" s="40" t="s">
        <v>1781</v>
      </c>
      <c r="I49" s="40" t="s">
        <v>1782</v>
      </c>
      <c r="J49" s="40"/>
      <c r="K49" s="40"/>
      <c r="L49" s="40"/>
      <c r="M49" s="42"/>
    </row>
    <row r="50" spans="1:13" x14ac:dyDescent="0.25">
      <c r="A50" s="40" t="s">
        <v>1813</v>
      </c>
      <c r="B50" s="40" t="s">
        <v>1814</v>
      </c>
      <c r="C50" s="41">
        <v>45590</v>
      </c>
      <c r="D50" s="48">
        <v>45601</v>
      </c>
      <c r="E50" s="52">
        <f t="shared" si="0"/>
        <v>12</v>
      </c>
      <c r="F50" s="40">
        <v>65</v>
      </c>
      <c r="G50" s="40" t="s">
        <v>14</v>
      </c>
      <c r="H50" s="40" t="s">
        <v>1908</v>
      </c>
      <c r="I50" s="40" t="s">
        <v>1909</v>
      </c>
      <c r="J50" s="67" t="s">
        <v>13</v>
      </c>
      <c r="K50" s="40"/>
      <c r="L50" s="40"/>
      <c r="M50" s="42"/>
    </row>
    <row r="51" spans="1:13" x14ac:dyDescent="0.25">
      <c r="A51" s="40" t="s">
        <v>1761</v>
      </c>
      <c r="B51" s="40" t="s">
        <v>1762</v>
      </c>
      <c r="C51" s="41">
        <v>45591</v>
      </c>
      <c r="D51" s="41">
        <v>45596</v>
      </c>
      <c r="E51" s="52">
        <f t="shared" si="0"/>
        <v>6</v>
      </c>
      <c r="F51" s="40">
        <v>45</v>
      </c>
      <c r="G51" s="40" t="s">
        <v>14</v>
      </c>
      <c r="H51" s="40" t="s">
        <v>1763</v>
      </c>
      <c r="I51" s="40" t="s">
        <v>1764</v>
      </c>
      <c r="J51" s="40"/>
      <c r="K51" s="40"/>
      <c r="L51" s="40"/>
      <c r="M51" s="42"/>
    </row>
    <row r="52" spans="1:13" x14ac:dyDescent="0.25">
      <c r="A52" s="40" t="s">
        <v>1769</v>
      </c>
      <c r="B52" s="40" t="s">
        <v>1770</v>
      </c>
      <c r="C52" s="41">
        <v>45592</v>
      </c>
      <c r="D52" s="74">
        <v>45595</v>
      </c>
      <c r="E52" s="52">
        <f t="shared" si="0"/>
        <v>4</v>
      </c>
      <c r="F52" s="40">
        <v>52</v>
      </c>
      <c r="G52" s="40" t="s">
        <v>12</v>
      </c>
      <c r="H52" s="40" t="s">
        <v>1771</v>
      </c>
      <c r="I52" s="40" t="s">
        <v>1093</v>
      </c>
      <c r="J52" s="67"/>
      <c r="K52" s="40"/>
      <c r="L52" s="40"/>
      <c r="M52" s="42"/>
    </row>
    <row r="53" spans="1:13" x14ac:dyDescent="0.25">
      <c r="A53" s="40" t="s">
        <v>1815</v>
      </c>
      <c r="B53" s="40" t="s">
        <v>1816</v>
      </c>
      <c r="C53" s="41">
        <v>45592</v>
      </c>
      <c r="D53" s="74">
        <v>45601</v>
      </c>
      <c r="E53" s="52">
        <f t="shared" si="0"/>
        <v>10</v>
      </c>
      <c r="F53" s="40">
        <v>74</v>
      </c>
      <c r="G53" s="40" t="s">
        <v>14</v>
      </c>
      <c r="H53" s="40" t="s">
        <v>1817</v>
      </c>
      <c r="I53" s="40" t="s">
        <v>1983</v>
      </c>
      <c r="J53" s="67"/>
      <c r="K53" s="40"/>
      <c r="L53" s="40"/>
      <c r="M53" s="42"/>
    </row>
    <row r="54" spans="1:13" x14ac:dyDescent="0.25">
      <c r="A54" s="40" t="s">
        <v>1775</v>
      </c>
      <c r="B54" s="41" t="s">
        <v>1776</v>
      </c>
      <c r="C54" s="41">
        <v>45593</v>
      </c>
      <c r="D54" s="41">
        <v>45596</v>
      </c>
      <c r="E54" s="52">
        <f t="shared" si="0"/>
        <v>4</v>
      </c>
      <c r="F54" s="40">
        <v>23</v>
      </c>
      <c r="G54" s="40" t="s">
        <v>14</v>
      </c>
      <c r="H54" s="40" t="s">
        <v>1777</v>
      </c>
      <c r="I54" s="40" t="s">
        <v>1778</v>
      </c>
      <c r="J54" s="71"/>
      <c r="K54" s="40"/>
      <c r="L54" s="40"/>
      <c r="M54" s="42"/>
    </row>
    <row r="55" spans="1:13" x14ac:dyDescent="0.25">
      <c r="A55" s="40" t="s">
        <v>1818</v>
      </c>
      <c r="B55" s="40" t="s">
        <v>1819</v>
      </c>
      <c r="C55" s="41">
        <v>45594</v>
      </c>
      <c r="D55" s="48">
        <v>45616</v>
      </c>
      <c r="E55" s="52">
        <f t="shared" si="0"/>
        <v>23</v>
      </c>
      <c r="F55" s="40">
        <v>64</v>
      </c>
      <c r="G55" s="40" t="s">
        <v>12</v>
      </c>
      <c r="H55" s="40" t="s">
        <v>1923</v>
      </c>
      <c r="I55" s="40" t="s">
        <v>1924</v>
      </c>
      <c r="J55" s="67" t="s">
        <v>13</v>
      </c>
      <c r="K55" s="40"/>
      <c r="L55" s="40"/>
      <c r="M55" s="42"/>
    </row>
    <row r="56" spans="1:13" s="65" customFormat="1" x14ac:dyDescent="0.25">
      <c r="A56" s="60" t="s">
        <v>1820</v>
      </c>
      <c r="B56" s="60" t="s">
        <v>1821</v>
      </c>
      <c r="C56" s="61">
        <v>45595</v>
      </c>
      <c r="D56" s="61">
        <v>45602</v>
      </c>
      <c r="E56" s="63">
        <f t="shared" si="0"/>
        <v>8</v>
      </c>
      <c r="F56" s="60">
        <v>16</v>
      </c>
      <c r="G56" s="60" t="s">
        <v>14</v>
      </c>
      <c r="H56" s="60" t="s">
        <v>1822</v>
      </c>
      <c r="I56" s="60" t="s">
        <v>1893</v>
      </c>
      <c r="J56" s="64"/>
      <c r="K56" s="60"/>
      <c r="L56" s="60"/>
    </row>
    <row r="57" spans="1:13" s="65" customFormat="1" x14ac:dyDescent="0.25">
      <c r="A57" s="60" t="s">
        <v>1823</v>
      </c>
      <c r="B57" s="60" t="s">
        <v>1824</v>
      </c>
      <c r="C57" s="61">
        <v>45595</v>
      </c>
      <c r="D57" s="61">
        <v>45601</v>
      </c>
      <c r="E57" s="63">
        <f t="shared" si="0"/>
        <v>7</v>
      </c>
      <c r="F57" s="60">
        <v>32</v>
      </c>
      <c r="G57" s="60" t="s">
        <v>12</v>
      </c>
      <c r="H57" s="60" t="s">
        <v>1825</v>
      </c>
      <c r="I57" s="77" t="s">
        <v>1892</v>
      </c>
      <c r="J57" s="64"/>
      <c r="K57" s="60"/>
      <c r="L57" s="60"/>
    </row>
    <row r="58" spans="1:13" x14ac:dyDescent="0.25">
      <c r="A58" s="40" t="s">
        <v>1826</v>
      </c>
      <c r="B58" s="40" t="s">
        <v>1847</v>
      </c>
      <c r="C58" s="41">
        <v>45595</v>
      </c>
      <c r="D58" s="48">
        <v>45599</v>
      </c>
      <c r="E58" s="52">
        <f t="shared" si="0"/>
        <v>5</v>
      </c>
      <c r="F58" s="40">
        <v>73</v>
      </c>
      <c r="G58" s="40" t="s">
        <v>14</v>
      </c>
      <c r="H58" s="40" t="s">
        <v>1827</v>
      </c>
      <c r="I58" s="40" t="s">
        <v>1846</v>
      </c>
      <c r="J58" s="67" t="s">
        <v>13</v>
      </c>
      <c r="K58" s="40"/>
      <c r="L58" s="40"/>
      <c r="M58" s="42"/>
    </row>
    <row r="59" spans="1:13" s="105" customFormat="1" x14ac:dyDescent="0.25">
      <c r="A59" s="101" t="s">
        <v>1783</v>
      </c>
      <c r="B59" s="101" t="s">
        <v>369</v>
      </c>
      <c r="C59" s="102">
        <v>45595</v>
      </c>
      <c r="D59" s="102">
        <v>45600</v>
      </c>
      <c r="E59" s="103">
        <f t="shared" si="0"/>
        <v>6</v>
      </c>
      <c r="F59" s="101">
        <v>25</v>
      </c>
      <c r="G59" s="101" t="s">
        <v>12</v>
      </c>
      <c r="H59" s="101" t="s">
        <v>1784</v>
      </c>
      <c r="I59" s="108" t="s">
        <v>965</v>
      </c>
      <c r="J59" s="101"/>
      <c r="K59" s="101"/>
      <c r="L59" s="101"/>
    </row>
    <row r="60" spans="1:13" x14ac:dyDescent="0.25">
      <c r="A60" s="40" t="s">
        <v>1785</v>
      </c>
      <c r="B60" s="40" t="s">
        <v>1786</v>
      </c>
      <c r="C60" s="41">
        <v>45594</v>
      </c>
      <c r="D60" s="41">
        <v>45596</v>
      </c>
      <c r="E60" s="52">
        <f t="shared" si="0"/>
        <v>3</v>
      </c>
      <c r="F60" s="40">
        <v>40</v>
      </c>
      <c r="G60" s="40" t="s">
        <v>14</v>
      </c>
      <c r="H60" s="40" t="s">
        <v>1787</v>
      </c>
      <c r="I60" s="40" t="s">
        <v>54</v>
      </c>
      <c r="J60" s="40"/>
      <c r="K60" s="40"/>
      <c r="L60" s="40"/>
      <c r="M60" s="42"/>
    </row>
    <row r="61" spans="1:13" x14ac:dyDescent="0.25">
      <c r="A61" s="40" t="s">
        <v>1793</v>
      </c>
      <c r="B61" s="40" t="s">
        <v>1794</v>
      </c>
      <c r="C61" s="41">
        <v>45575</v>
      </c>
      <c r="D61" s="41">
        <v>45595</v>
      </c>
      <c r="E61" s="52">
        <f t="shared" si="0"/>
        <v>21</v>
      </c>
      <c r="F61" s="40">
        <v>67</v>
      </c>
      <c r="G61" s="40" t="s">
        <v>14</v>
      </c>
      <c r="H61" s="40" t="s">
        <v>1896</v>
      </c>
      <c r="I61" s="40" t="s">
        <v>1895</v>
      </c>
      <c r="J61" s="40"/>
      <c r="K61" s="40"/>
      <c r="L61" s="40"/>
      <c r="M61" s="42"/>
    </row>
    <row r="62" spans="1:13" x14ac:dyDescent="0.25">
      <c r="A62" s="40" t="s">
        <v>1828</v>
      </c>
      <c r="B62" s="40"/>
      <c r="C62" s="41">
        <v>45595</v>
      </c>
      <c r="D62" s="41">
        <v>45602</v>
      </c>
      <c r="E62" s="52">
        <f t="shared" si="0"/>
        <v>8</v>
      </c>
      <c r="F62" s="40">
        <v>68</v>
      </c>
      <c r="G62" s="40" t="s">
        <v>12</v>
      </c>
      <c r="H62" s="40" t="s">
        <v>1894</v>
      </c>
      <c r="I62" s="40" t="s">
        <v>1829</v>
      </c>
      <c r="J62" s="71"/>
      <c r="K62" s="40"/>
      <c r="L62" s="40"/>
      <c r="M62" s="42"/>
    </row>
    <row r="63" spans="1:13" s="129" customFormat="1" x14ac:dyDescent="0.25">
      <c r="A63" s="123" t="s">
        <v>1830</v>
      </c>
      <c r="B63" s="123" t="s">
        <v>1831</v>
      </c>
      <c r="C63" s="124">
        <v>45596</v>
      </c>
      <c r="D63" s="125"/>
      <c r="E63" s="126">
        <f t="shared" si="0"/>
        <v>-45595</v>
      </c>
      <c r="F63" s="123">
        <v>25</v>
      </c>
      <c r="G63" s="123" t="s">
        <v>12</v>
      </c>
      <c r="H63" s="123" t="s">
        <v>1832</v>
      </c>
      <c r="I63" s="127" t="s">
        <v>145</v>
      </c>
      <c r="J63" s="128"/>
      <c r="K63" s="123"/>
      <c r="L63" s="123"/>
    </row>
    <row r="64" spans="1:13" x14ac:dyDescent="0.25">
      <c r="A64" s="40" t="s">
        <v>1833</v>
      </c>
      <c r="B64" s="40" t="s">
        <v>1834</v>
      </c>
      <c r="C64" s="41">
        <v>45596</v>
      </c>
      <c r="D64" s="48">
        <v>45602</v>
      </c>
      <c r="E64" s="52">
        <f t="shared" ref="E64:E107" si="2">D64-C64+1</f>
        <v>7</v>
      </c>
      <c r="F64" s="40">
        <v>35</v>
      </c>
      <c r="G64" s="40" t="s">
        <v>14</v>
      </c>
      <c r="H64" s="40" t="s">
        <v>1835</v>
      </c>
      <c r="I64" s="40" t="s">
        <v>20</v>
      </c>
      <c r="J64" s="120" t="s">
        <v>13</v>
      </c>
      <c r="K64" s="40"/>
      <c r="L64" s="40"/>
      <c r="M64" s="42"/>
    </row>
    <row r="65" spans="1:13" x14ac:dyDescent="0.25">
      <c r="A65" s="40" t="s">
        <v>1836</v>
      </c>
      <c r="B65" s="40" t="s">
        <v>1837</v>
      </c>
      <c r="C65" s="41">
        <v>45596</v>
      </c>
      <c r="D65" s="41">
        <v>45601</v>
      </c>
      <c r="E65" s="52">
        <f t="shared" si="2"/>
        <v>6</v>
      </c>
      <c r="F65" s="40">
        <v>31</v>
      </c>
      <c r="G65" s="40" t="s">
        <v>14</v>
      </c>
      <c r="H65" s="40" t="s">
        <v>1897</v>
      </c>
      <c r="I65" s="40" t="s">
        <v>1898</v>
      </c>
      <c r="J65" s="40"/>
      <c r="K65" s="40"/>
      <c r="L65" s="40"/>
      <c r="M65" s="42"/>
    </row>
    <row r="66" spans="1:13" x14ac:dyDescent="0.25">
      <c r="A66" s="40"/>
      <c r="B66" s="40"/>
      <c r="C66" s="41"/>
      <c r="D66" s="41"/>
      <c r="E66" s="52">
        <f t="shared" si="2"/>
        <v>1</v>
      </c>
      <c r="F66" s="40"/>
      <c r="G66" s="40"/>
      <c r="H66" s="40"/>
      <c r="I66" s="40"/>
      <c r="J66" s="87"/>
      <c r="K66" s="40"/>
      <c r="L66" s="40"/>
      <c r="M66" s="42"/>
    </row>
    <row r="67" spans="1:13" x14ac:dyDescent="0.25">
      <c r="A67" s="40"/>
      <c r="B67" s="40"/>
      <c r="C67" s="41"/>
      <c r="D67" s="41"/>
      <c r="E67" s="52">
        <f t="shared" si="2"/>
        <v>1</v>
      </c>
      <c r="F67" s="40"/>
      <c r="G67" s="40"/>
      <c r="H67" s="40"/>
      <c r="I67" s="40"/>
      <c r="J67" s="71"/>
      <c r="K67" s="40"/>
      <c r="L67" s="40"/>
      <c r="M67" s="42"/>
    </row>
    <row r="68" spans="1:13" x14ac:dyDescent="0.25">
      <c r="A68" s="40"/>
      <c r="B68" s="40"/>
      <c r="C68" s="41"/>
      <c r="D68" s="41"/>
      <c r="E68" s="52">
        <f t="shared" si="2"/>
        <v>1</v>
      </c>
      <c r="F68" s="40"/>
      <c r="G68" s="40"/>
      <c r="H68" s="40"/>
      <c r="I68" s="40"/>
      <c r="J68" s="67"/>
      <c r="K68" s="40"/>
      <c r="L68" s="40"/>
      <c r="M68" s="42"/>
    </row>
    <row r="69" spans="1:13" x14ac:dyDescent="0.25">
      <c r="A69" s="40"/>
      <c r="B69" s="40"/>
      <c r="C69" s="41"/>
      <c r="D69" s="48"/>
      <c r="E69" s="52">
        <f t="shared" si="2"/>
        <v>1</v>
      </c>
      <c r="F69" s="40"/>
      <c r="G69" s="40"/>
      <c r="H69" s="40"/>
      <c r="I69" s="40"/>
      <c r="J69" s="40"/>
      <c r="K69" s="40"/>
      <c r="L69" s="40"/>
      <c r="M69" s="42"/>
    </row>
    <row r="70" spans="1:13" x14ac:dyDescent="0.25">
      <c r="A70" s="40"/>
      <c r="B70" s="40"/>
      <c r="C70" s="41"/>
      <c r="D70" s="41"/>
      <c r="E70" s="52">
        <f t="shared" si="2"/>
        <v>1</v>
      </c>
      <c r="F70" s="40"/>
      <c r="G70" s="40"/>
      <c r="H70" s="40"/>
      <c r="I70" s="40"/>
      <c r="J70" s="67"/>
      <c r="K70" s="40"/>
      <c r="L70" s="40"/>
      <c r="M70" s="42"/>
    </row>
    <row r="71" spans="1:13" x14ac:dyDescent="0.25">
      <c r="A71" s="40"/>
      <c r="B71" s="40"/>
      <c r="C71" s="41"/>
      <c r="D71" s="48"/>
      <c r="E71" s="52">
        <f t="shared" si="2"/>
        <v>1</v>
      </c>
      <c r="F71" s="40"/>
      <c r="G71" s="40"/>
      <c r="H71" s="40"/>
      <c r="I71" s="40"/>
      <c r="J71" s="40"/>
      <c r="K71" s="40"/>
      <c r="L71" s="40"/>
      <c r="M71" s="42"/>
    </row>
    <row r="72" spans="1:13" x14ac:dyDescent="0.25">
      <c r="A72" s="40"/>
      <c r="B72" s="40"/>
      <c r="C72" s="41"/>
      <c r="D72" s="41"/>
      <c r="E72" s="52">
        <f t="shared" si="2"/>
        <v>1</v>
      </c>
      <c r="F72" s="40"/>
      <c r="G72" s="40"/>
      <c r="H72" s="40"/>
      <c r="I72" s="40"/>
      <c r="J72" s="40"/>
      <c r="K72" s="40"/>
      <c r="L72" s="40"/>
      <c r="M72" s="42"/>
    </row>
    <row r="73" spans="1:13" s="19" customFormat="1" x14ac:dyDescent="0.25">
      <c r="A73" s="40"/>
      <c r="B73" s="40"/>
      <c r="C73" s="41"/>
      <c r="D73" s="41"/>
      <c r="E73" s="52">
        <f t="shared" si="2"/>
        <v>1</v>
      </c>
      <c r="F73" s="40"/>
      <c r="G73" s="40"/>
      <c r="H73" s="40"/>
      <c r="I73" s="71"/>
      <c r="J73" s="40"/>
      <c r="K73" s="40"/>
      <c r="L73" s="40"/>
      <c r="M73" s="42"/>
    </row>
    <row r="74" spans="1:13" s="19" customFormat="1" x14ac:dyDescent="0.25">
      <c r="A74" s="40"/>
      <c r="B74" s="40"/>
      <c r="C74" s="41"/>
      <c r="D74" s="41"/>
      <c r="E74" s="52">
        <f t="shared" si="2"/>
        <v>1</v>
      </c>
      <c r="F74" s="40"/>
      <c r="G74" s="40"/>
      <c r="H74" s="40"/>
      <c r="I74" s="71"/>
      <c r="J74" s="40"/>
      <c r="K74" s="40"/>
      <c r="L74" s="40"/>
      <c r="M74" s="42"/>
    </row>
    <row r="75" spans="1:13" x14ac:dyDescent="0.25">
      <c r="A75" s="40"/>
      <c r="B75" s="40"/>
      <c r="C75" s="41"/>
      <c r="D75" s="41"/>
      <c r="E75" s="52">
        <f t="shared" si="2"/>
        <v>1</v>
      </c>
      <c r="F75" s="40"/>
      <c r="G75" s="40"/>
      <c r="H75" s="40"/>
      <c r="I75" s="40"/>
      <c r="J75" s="40"/>
      <c r="K75" s="40"/>
      <c r="L75" s="40"/>
      <c r="M75" s="42"/>
    </row>
    <row r="76" spans="1:13" x14ac:dyDescent="0.25">
      <c r="A76" s="40"/>
      <c r="B76" s="40"/>
      <c r="C76" s="41"/>
      <c r="D76" s="41"/>
      <c r="E76" s="52">
        <f t="shared" si="2"/>
        <v>1</v>
      </c>
      <c r="F76" s="40"/>
      <c r="G76" s="40"/>
      <c r="H76" s="40"/>
      <c r="I76" s="40"/>
      <c r="J76" s="40"/>
      <c r="K76" s="40"/>
      <c r="L76" s="40"/>
      <c r="M76" s="42"/>
    </row>
    <row r="77" spans="1:13" x14ac:dyDescent="0.25">
      <c r="A77" s="40"/>
      <c r="B77" s="40"/>
      <c r="C77" s="41"/>
      <c r="D77" s="41"/>
      <c r="E77" s="52">
        <f t="shared" si="2"/>
        <v>1</v>
      </c>
      <c r="F77" s="40"/>
      <c r="G77" s="40"/>
      <c r="H77" s="40"/>
      <c r="I77" s="40"/>
      <c r="J77" s="40"/>
      <c r="K77" s="40"/>
      <c r="L77" s="40"/>
      <c r="M77" s="42"/>
    </row>
    <row r="78" spans="1:13" x14ac:dyDescent="0.25">
      <c r="A78" s="40"/>
      <c r="B78" s="40"/>
      <c r="C78" s="41"/>
      <c r="D78" s="41"/>
      <c r="E78" s="52">
        <f t="shared" si="2"/>
        <v>1</v>
      </c>
      <c r="F78" s="40"/>
      <c r="G78" s="40"/>
      <c r="H78" s="40"/>
      <c r="I78" s="40"/>
      <c r="J78" s="40"/>
      <c r="K78" s="40"/>
      <c r="L78" s="40"/>
      <c r="M78" s="42"/>
    </row>
    <row r="79" spans="1:13" s="19" customFormat="1" x14ac:dyDescent="0.25">
      <c r="A79" s="40"/>
      <c r="B79" s="40"/>
      <c r="C79" s="41"/>
      <c r="D79" s="41"/>
      <c r="E79" s="52">
        <f t="shared" si="2"/>
        <v>1</v>
      </c>
      <c r="F79" s="40"/>
      <c r="G79" s="40"/>
      <c r="H79" s="40"/>
      <c r="I79" s="71"/>
      <c r="J79" s="40"/>
      <c r="K79" s="40"/>
      <c r="L79" s="40"/>
      <c r="M79" s="42"/>
    </row>
    <row r="80" spans="1:13" s="19" customFormat="1" x14ac:dyDescent="0.25">
      <c r="A80" s="40"/>
      <c r="B80" s="40"/>
      <c r="C80" s="41"/>
      <c r="D80" s="48"/>
      <c r="E80" s="52">
        <f t="shared" si="2"/>
        <v>1</v>
      </c>
      <c r="F80" s="40"/>
      <c r="G80" s="40"/>
      <c r="H80" s="40"/>
      <c r="I80" s="71"/>
      <c r="J80" s="67"/>
      <c r="K80" s="40"/>
      <c r="L80" s="40"/>
      <c r="M80" s="42"/>
    </row>
    <row r="81" spans="1:13" x14ac:dyDescent="0.25">
      <c r="A81" s="40"/>
      <c r="B81" s="40"/>
      <c r="C81" s="41"/>
      <c r="D81" s="41"/>
      <c r="E81" s="52">
        <f t="shared" si="2"/>
        <v>1</v>
      </c>
      <c r="F81" s="40"/>
      <c r="G81" s="40"/>
      <c r="H81" s="40"/>
      <c r="I81" s="40"/>
      <c r="J81" s="67"/>
      <c r="K81" s="40"/>
      <c r="L81" s="40"/>
      <c r="M81" s="42"/>
    </row>
    <row r="82" spans="1:13" x14ac:dyDescent="0.25">
      <c r="A82" s="40"/>
      <c r="B82" s="40"/>
      <c r="C82" s="41"/>
      <c r="D82" s="41"/>
      <c r="E82" s="52">
        <f t="shared" si="2"/>
        <v>1</v>
      </c>
      <c r="F82" s="40"/>
      <c r="G82" s="40"/>
      <c r="H82" s="40"/>
      <c r="I82" s="40"/>
      <c r="J82" s="40"/>
      <c r="K82" s="40"/>
      <c r="L82" s="40"/>
      <c r="M82" s="42"/>
    </row>
    <row r="83" spans="1:13" x14ac:dyDescent="0.25">
      <c r="A83" s="40"/>
      <c r="B83" s="40"/>
      <c r="C83" s="41"/>
      <c r="D83" s="41"/>
      <c r="E83" s="52">
        <f t="shared" si="2"/>
        <v>1</v>
      </c>
      <c r="F83" s="40"/>
      <c r="G83" s="40"/>
      <c r="H83" s="40"/>
      <c r="I83" s="40"/>
      <c r="J83" s="40"/>
      <c r="K83" s="40"/>
      <c r="L83" s="40"/>
      <c r="M83" s="42"/>
    </row>
    <row r="84" spans="1:13" x14ac:dyDescent="0.25">
      <c r="A84" s="40"/>
      <c r="B84" s="40"/>
      <c r="C84" s="41"/>
      <c r="D84" s="41"/>
      <c r="E84" s="52">
        <f t="shared" si="2"/>
        <v>1</v>
      </c>
      <c r="F84" s="40"/>
      <c r="G84" s="40"/>
      <c r="H84" s="40"/>
      <c r="I84" s="40"/>
      <c r="J84" s="40"/>
      <c r="K84" s="40"/>
      <c r="L84" s="40"/>
      <c r="M84" s="42"/>
    </row>
    <row r="85" spans="1:13" x14ac:dyDescent="0.25">
      <c r="A85" s="40"/>
      <c r="B85" s="40"/>
      <c r="C85" s="41"/>
      <c r="D85" s="41"/>
      <c r="E85" s="52">
        <f t="shared" si="2"/>
        <v>1</v>
      </c>
      <c r="F85" s="40"/>
      <c r="G85" s="40"/>
      <c r="H85" s="40"/>
      <c r="I85" s="40"/>
      <c r="J85" s="40"/>
      <c r="K85" s="40"/>
      <c r="L85" s="40"/>
      <c r="M85" s="42"/>
    </row>
    <row r="86" spans="1:13" x14ac:dyDescent="0.25">
      <c r="A86" s="40"/>
      <c r="B86" s="40"/>
      <c r="C86" s="41"/>
      <c r="D86" s="48"/>
      <c r="E86" s="52">
        <f t="shared" si="2"/>
        <v>1</v>
      </c>
      <c r="F86" s="40"/>
      <c r="G86" s="40"/>
      <c r="H86" s="40"/>
      <c r="I86" s="40"/>
      <c r="J86" s="67"/>
      <c r="K86" s="40"/>
      <c r="L86" s="40"/>
      <c r="M86" s="42"/>
    </row>
    <row r="87" spans="1:13" x14ac:dyDescent="0.25">
      <c r="A87" s="40"/>
      <c r="B87" s="40"/>
      <c r="C87" s="41"/>
      <c r="D87" s="41"/>
      <c r="E87" s="52">
        <f t="shared" si="2"/>
        <v>1</v>
      </c>
      <c r="F87" s="40"/>
      <c r="G87" s="40"/>
      <c r="H87" s="40"/>
      <c r="I87" s="40"/>
      <c r="J87" s="40"/>
      <c r="K87" s="40"/>
      <c r="L87" s="40"/>
      <c r="M87" s="42"/>
    </row>
    <row r="88" spans="1:13" x14ac:dyDescent="0.25">
      <c r="A88" s="40"/>
      <c r="B88" s="40"/>
      <c r="C88" s="41"/>
      <c r="D88" s="41"/>
      <c r="E88" s="52">
        <f t="shared" si="2"/>
        <v>1</v>
      </c>
      <c r="F88" s="40"/>
      <c r="G88" s="40"/>
      <c r="H88" s="40"/>
      <c r="I88" s="40"/>
      <c r="J88" s="40"/>
      <c r="K88" s="40"/>
      <c r="L88" s="40"/>
      <c r="M88" s="42"/>
    </row>
    <row r="89" spans="1:13" x14ac:dyDescent="0.25">
      <c r="A89" s="40"/>
      <c r="B89" s="40"/>
      <c r="C89" s="41"/>
      <c r="D89" s="48"/>
      <c r="E89" s="52">
        <f t="shared" si="2"/>
        <v>1</v>
      </c>
      <c r="F89" s="40"/>
      <c r="G89" s="40"/>
      <c r="H89" s="40"/>
      <c r="I89" s="40"/>
      <c r="J89" s="67"/>
      <c r="K89" s="40"/>
      <c r="L89" s="40"/>
      <c r="M89" s="42"/>
    </row>
    <row r="90" spans="1:13" x14ac:dyDescent="0.25">
      <c r="A90" s="40"/>
      <c r="B90" s="40"/>
      <c r="C90" s="41"/>
      <c r="D90" s="41"/>
      <c r="E90" s="52">
        <f t="shared" si="2"/>
        <v>1</v>
      </c>
      <c r="F90" s="40"/>
      <c r="G90" s="40"/>
      <c r="H90" s="40"/>
      <c r="I90" s="40"/>
      <c r="J90" s="71"/>
      <c r="K90" s="40"/>
      <c r="L90" s="40"/>
      <c r="M90" s="42"/>
    </row>
    <row r="91" spans="1:13" x14ac:dyDescent="0.25">
      <c r="A91" s="40"/>
      <c r="B91" s="40"/>
      <c r="C91" s="41"/>
      <c r="D91" s="41"/>
      <c r="E91" s="52">
        <f t="shared" si="2"/>
        <v>1</v>
      </c>
      <c r="F91" s="40"/>
      <c r="G91" s="40"/>
      <c r="H91" s="40"/>
      <c r="I91" s="40"/>
      <c r="J91" s="40"/>
      <c r="K91" s="40"/>
      <c r="L91" s="40"/>
      <c r="M91" s="42"/>
    </row>
    <row r="92" spans="1:13" x14ac:dyDescent="0.25">
      <c r="A92" s="40"/>
      <c r="B92" s="40"/>
      <c r="C92" s="41"/>
      <c r="D92" s="41"/>
      <c r="E92" s="52">
        <f t="shared" si="2"/>
        <v>1</v>
      </c>
      <c r="F92" s="40"/>
      <c r="G92" s="40"/>
      <c r="H92" s="40"/>
      <c r="I92" s="40"/>
      <c r="J92" s="40"/>
      <c r="K92" s="40"/>
      <c r="L92" s="40"/>
      <c r="M92" s="42"/>
    </row>
    <row r="93" spans="1:13" x14ac:dyDescent="0.25">
      <c r="A93" s="40"/>
      <c r="B93" s="40"/>
      <c r="C93" s="41"/>
      <c r="D93" s="48"/>
      <c r="E93" s="52">
        <f t="shared" si="2"/>
        <v>1</v>
      </c>
      <c r="F93" s="40"/>
      <c r="G93" s="40"/>
      <c r="H93" s="40"/>
      <c r="I93" s="40"/>
      <c r="J93" s="67"/>
      <c r="K93" s="40"/>
      <c r="L93" s="40"/>
      <c r="M93" s="42"/>
    </row>
    <row r="94" spans="1:13" x14ac:dyDescent="0.25">
      <c r="A94" s="40"/>
      <c r="B94" s="40"/>
      <c r="C94" s="41"/>
      <c r="D94" s="41"/>
      <c r="E94" s="52">
        <f t="shared" si="2"/>
        <v>1</v>
      </c>
      <c r="F94" s="40"/>
      <c r="G94" s="40"/>
      <c r="H94" s="40"/>
      <c r="I94" s="40"/>
      <c r="J94" s="40"/>
      <c r="K94" s="40"/>
      <c r="L94" s="40"/>
      <c r="M94" s="42"/>
    </row>
    <row r="95" spans="1:13" x14ac:dyDescent="0.25">
      <c r="A95" s="40"/>
      <c r="B95" s="40"/>
      <c r="C95" s="41"/>
      <c r="D95" s="48"/>
      <c r="E95" s="52">
        <f t="shared" si="2"/>
        <v>1</v>
      </c>
      <c r="F95" s="40"/>
      <c r="G95" s="40"/>
      <c r="H95" s="40"/>
      <c r="I95" s="40"/>
      <c r="J95" s="67"/>
      <c r="K95" s="40"/>
      <c r="L95" s="40"/>
      <c r="M95" s="42"/>
    </row>
    <row r="96" spans="1:13" s="49" customFormat="1" x14ac:dyDescent="0.25">
      <c r="A96" s="40"/>
      <c r="B96" s="40"/>
      <c r="C96" s="41"/>
      <c r="D96" s="48"/>
      <c r="E96" s="52">
        <f t="shared" si="2"/>
        <v>1</v>
      </c>
      <c r="F96" s="40"/>
      <c r="G96" s="40"/>
      <c r="H96" s="40"/>
      <c r="I96" s="66"/>
      <c r="J96" s="67"/>
      <c r="K96" s="40"/>
      <c r="L96" s="40"/>
      <c r="M96" s="42"/>
    </row>
    <row r="97" spans="1:13" x14ac:dyDescent="0.25">
      <c r="A97" s="40"/>
      <c r="B97" s="40"/>
      <c r="C97" s="41"/>
      <c r="D97" s="41"/>
      <c r="E97" s="52">
        <f t="shared" si="2"/>
        <v>1</v>
      </c>
      <c r="F97" s="40"/>
      <c r="G97" s="40"/>
      <c r="H97" s="40"/>
      <c r="I97" s="40"/>
      <c r="J97" s="71"/>
      <c r="K97" s="40"/>
      <c r="L97" s="40"/>
      <c r="M97" s="42"/>
    </row>
    <row r="98" spans="1:13" x14ac:dyDescent="0.25">
      <c r="A98" s="40"/>
      <c r="B98" s="40"/>
      <c r="C98" s="41"/>
      <c r="D98" s="41"/>
      <c r="E98" s="52">
        <f t="shared" si="2"/>
        <v>1</v>
      </c>
      <c r="F98" s="40"/>
      <c r="G98" s="40"/>
      <c r="H98" s="40"/>
      <c r="I98" s="40"/>
      <c r="J98" s="40"/>
      <c r="K98" s="40"/>
      <c r="L98" s="40"/>
      <c r="M98" s="42"/>
    </row>
    <row r="99" spans="1:13" x14ac:dyDescent="0.25">
      <c r="A99" s="40"/>
      <c r="B99" s="40"/>
      <c r="C99" s="41"/>
      <c r="D99" s="41"/>
      <c r="E99" s="52">
        <f t="shared" si="2"/>
        <v>1</v>
      </c>
      <c r="F99" s="40"/>
      <c r="G99" s="40"/>
      <c r="H99" s="40"/>
      <c r="I99" s="40"/>
      <c r="J99" s="40"/>
      <c r="K99" s="40"/>
      <c r="L99" s="40"/>
      <c r="M99" s="42"/>
    </row>
    <row r="100" spans="1:13" x14ac:dyDescent="0.25">
      <c r="A100" s="40"/>
      <c r="B100" s="40"/>
      <c r="C100" s="41"/>
      <c r="D100" s="41"/>
      <c r="E100" s="52">
        <f t="shared" si="2"/>
        <v>1</v>
      </c>
      <c r="F100" s="40"/>
      <c r="G100" s="40"/>
      <c r="H100" s="40"/>
      <c r="I100" s="66"/>
      <c r="J100" s="40"/>
      <c r="K100" s="40"/>
      <c r="L100" s="40"/>
      <c r="M100" s="42"/>
    </row>
    <row r="101" spans="1:13" x14ac:dyDescent="0.25">
      <c r="A101" s="40"/>
      <c r="B101" s="40"/>
      <c r="C101" s="41"/>
      <c r="D101" s="48"/>
      <c r="E101" s="52">
        <f t="shared" si="2"/>
        <v>1</v>
      </c>
      <c r="F101" s="40"/>
      <c r="G101" s="40"/>
      <c r="H101" s="40"/>
      <c r="I101" s="40"/>
      <c r="J101" s="67"/>
      <c r="K101" s="40"/>
      <c r="L101" s="40"/>
      <c r="M101" s="42"/>
    </row>
    <row r="102" spans="1:13" x14ac:dyDescent="0.25">
      <c r="A102" s="40"/>
      <c r="B102" s="40"/>
      <c r="C102" s="41"/>
      <c r="D102" s="48"/>
      <c r="E102" s="52">
        <f t="shared" si="2"/>
        <v>1</v>
      </c>
      <c r="F102" s="40"/>
      <c r="G102" s="40"/>
      <c r="H102" s="40"/>
      <c r="I102" s="40"/>
      <c r="J102" s="67"/>
      <c r="K102" s="40"/>
      <c r="L102" s="40"/>
      <c r="M102" s="42"/>
    </row>
    <row r="103" spans="1:13" x14ac:dyDescent="0.25">
      <c r="A103" s="40"/>
      <c r="B103" s="40"/>
      <c r="C103" s="41"/>
      <c r="D103" s="41"/>
      <c r="E103" s="52">
        <f t="shared" si="2"/>
        <v>1</v>
      </c>
      <c r="F103" s="40"/>
      <c r="G103" s="40"/>
      <c r="H103" s="40"/>
      <c r="I103" s="40"/>
      <c r="J103" s="40"/>
      <c r="K103" s="40"/>
      <c r="L103" s="40"/>
      <c r="M103" s="42"/>
    </row>
    <row r="104" spans="1:13" x14ac:dyDescent="0.25">
      <c r="A104" s="40"/>
      <c r="B104" s="40"/>
      <c r="C104" s="41"/>
      <c r="D104" s="48"/>
      <c r="E104" s="52">
        <f t="shared" si="2"/>
        <v>1</v>
      </c>
      <c r="F104" s="40"/>
      <c r="G104" s="40"/>
      <c r="H104" s="40"/>
      <c r="I104" s="40"/>
      <c r="J104" s="67"/>
      <c r="K104" s="40"/>
      <c r="L104" s="40"/>
      <c r="M104" s="42"/>
    </row>
    <row r="105" spans="1:13" x14ac:dyDescent="0.25">
      <c r="A105" s="40"/>
      <c r="B105" s="40"/>
      <c r="C105" s="41"/>
      <c r="D105" s="41"/>
      <c r="E105" s="52">
        <f t="shared" si="2"/>
        <v>1</v>
      </c>
      <c r="F105" s="40"/>
      <c r="G105" s="40"/>
      <c r="H105" s="40"/>
      <c r="I105" s="40"/>
      <c r="J105" s="40"/>
      <c r="K105" s="40"/>
      <c r="L105" s="40"/>
      <c r="M105" s="42"/>
    </row>
    <row r="106" spans="1:13" x14ac:dyDescent="0.25">
      <c r="A106" s="40"/>
      <c r="B106" s="40"/>
      <c r="C106" s="41"/>
      <c r="D106" s="41"/>
      <c r="E106" s="52">
        <f t="shared" si="2"/>
        <v>1</v>
      </c>
      <c r="F106" s="40"/>
      <c r="G106" s="40"/>
      <c r="H106" s="40"/>
      <c r="I106" s="40"/>
      <c r="J106" s="40"/>
      <c r="K106" s="40"/>
      <c r="L106" s="40"/>
      <c r="M106" s="42"/>
    </row>
    <row r="107" spans="1:13" x14ac:dyDescent="0.25">
      <c r="A107" s="40"/>
      <c r="B107" s="40"/>
      <c r="C107" s="41"/>
      <c r="D107" s="48"/>
      <c r="E107" s="52">
        <f t="shared" si="2"/>
        <v>1</v>
      </c>
      <c r="F107" s="40"/>
      <c r="G107" s="40"/>
      <c r="H107" s="40"/>
      <c r="I107" s="40"/>
      <c r="J107" s="67"/>
      <c r="K107" s="40"/>
      <c r="L107" s="40"/>
      <c r="M107" s="42"/>
    </row>
    <row r="108" spans="1:13" x14ac:dyDescent="0.25">
      <c r="A108" s="40"/>
      <c r="B108" s="40"/>
      <c r="C108" s="41"/>
      <c r="D108" s="41"/>
      <c r="E108" s="40"/>
      <c r="F108" s="40"/>
      <c r="G108" s="40"/>
      <c r="H108" s="40"/>
      <c r="I108" s="40"/>
      <c r="J108" s="40"/>
      <c r="K108" s="40"/>
      <c r="L108" s="40"/>
      <c r="M108" s="42"/>
    </row>
    <row r="109" spans="1:13" x14ac:dyDescent="0.25">
      <c r="A109" s="40"/>
      <c r="B109" s="40"/>
      <c r="C109" s="41"/>
      <c r="D109" s="41"/>
      <c r="E109" s="40"/>
      <c r="F109" s="40"/>
      <c r="G109" s="40"/>
      <c r="H109" s="40"/>
      <c r="I109" s="40"/>
      <c r="J109" s="40"/>
      <c r="K109" s="40"/>
      <c r="L109" s="40"/>
      <c r="M109" s="42"/>
    </row>
    <row r="110" spans="1:13" x14ac:dyDescent="0.25">
      <c r="A110" s="40"/>
      <c r="B110" s="40"/>
      <c r="C110" s="41"/>
      <c r="D110" s="41"/>
      <c r="E110" s="40"/>
      <c r="F110" s="40"/>
      <c r="G110" s="40"/>
      <c r="H110" s="40"/>
      <c r="I110" s="40"/>
      <c r="J110" s="40"/>
      <c r="K110" s="40"/>
      <c r="L110" s="40"/>
      <c r="M110" s="42"/>
    </row>
    <row r="111" spans="1:13" x14ac:dyDescent="0.25">
      <c r="A111" s="40"/>
      <c r="B111" s="40"/>
      <c r="C111" s="41"/>
      <c r="D111" s="41"/>
      <c r="E111" s="40"/>
      <c r="F111" s="40"/>
      <c r="G111" s="40"/>
      <c r="H111" s="40"/>
      <c r="I111" s="40"/>
      <c r="J111" s="40"/>
      <c r="K111" s="40"/>
      <c r="L111" s="40"/>
      <c r="M111" s="42"/>
    </row>
    <row r="112" spans="1:13" x14ac:dyDescent="0.25">
      <c r="A112" s="40"/>
      <c r="B112" s="40"/>
      <c r="C112" s="41"/>
      <c r="D112" s="41"/>
      <c r="E112" s="40"/>
      <c r="F112" s="40"/>
      <c r="G112" s="40"/>
      <c r="H112" s="40"/>
      <c r="I112" s="40"/>
      <c r="J112" s="40"/>
      <c r="K112" s="40"/>
      <c r="L112" s="40"/>
      <c r="M112" s="42"/>
    </row>
    <row r="113" spans="1:13" x14ac:dyDescent="0.25">
      <c r="A113" s="40"/>
      <c r="B113" s="40"/>
      <c r="C113" s="41"/>
      <c r="D113" s="48"/>
      <c r="E113" s="40"/>
      <c r="F113" s="40"/>
      <c r="G113" s="40"/>
      <c r="H113" s="40"/>
      <c r="I113" s="40"/>
      <c r="J113" s="67"/>
      <c r="K113" s="40"/>
      <c r="L113" s="40"/>
      <c r="M113" s="42"/>
    </row>
    <row r="114" spans="1:13" x14ac:dyDescent="0.25">
      <c r="A114" s="40"/>
      <c r="B114" s="40"/>
      <c r="C114" s="41"/>
      <c r="D114" s="48"/>
      <c r="E114" s="40"/>
      <c r="F114" s="40"/>
      <c r="G114" s="40"/>
      <c r="H114" s="40"/>
      <c r="I114" s="40"/>
      <c r="J114" s="67"/>
      <c r="K114" s="40"/>
      <c r="L114" s="40"/>
      <c r="M114" s="42"/>
    </row>
    <row r="115" spans="1:13" s="37" customFormat="1" x14ac:dyDescent="0.25">
      <c r="A115" s="40"/>
      <c r="B115" s="40"/>
      <c r="C115" s="41"/>
      <c r="D115" s="41"/>
      <c r="E115" s="40"/>
      <c r="F115" s="40"/>
      <c r="G115" s="40"/>
      <c r="H115" s="40"/>
      <c r="I115" s="66"/>
      <c r="J115" s="67"/>
      <c r="K115" s="40"/>
      <c r="L115" s="40"/>
      <c r="M115" s="42"/>
    </row>
    <row r="116" spans="1:13" x14ac:dyDescent="0.25">
      <c r="A116" s="40"/>
      <c r="B116" s="40"/>
      <c r="C116" s="41"/>
      <c r="D116" s="41"/>
      <c r="E116" s="40"/>
      <c r="F116" s="40"/>
      <c r="G116" s="40"/>
      <c r="H116" s="40"/>
      <c r="I116" s="40"/>
      <c r="J116" s="67"/>
      <c r="K116" s="40"/>
      <c r="L116" s="40"/>
      <c r="M116" s="42"/>
    </row>
    <row r="117" spans="1:13" x14ac:dyDescent="0.25">
      <c r="A117" s="40"/>
      <c r="B117" s="40"/>
      <c r="C117" s="41"/>
      <c r="D117" s="41"/>
      <c r="E117" s="40"/>
      <c r="F117" s="40"/>
      <c r="G117" s="40"/>
      <c r="H117" s="40"/>
      <c r="I117" s="40"/>
      <c r="J117" s="67"/>
      <c r="K117" s="40"/>
      <c r="L117" s="40"/>
      <c r="M117" s="42"/>
    </row>
    <row r="118" spans="1:13" x14ac:dyDescent="0.25">
      <c r="A118" s="40"/>
      <c r="B118" s="40"/>
      <c r="C118" s="41"/>
      <c r="D118" s="41"/>
      <c r="E118" s="40"/>
      <c r="F118" s="40"/>
      <c r="G118" s="40"/>
      <c r="H118" s="40"/>
      <c r="I118" s="40"/>
      <c r="J118" s="67"/>
      <c r="K118" s="40"/>
      <c r="L118" s="40"/>
      <c r="M118" s="42"/>
    </row>
    <row r="119" spans="1:13" x14ac:dyDescent="0.25">
      <c r="A119" s="40"/>
      <c r="B119" s="40"/>
      <c r="C119" s="41"/>
      <c r="D119" s="41"/>
      <c r="E119" s="40"/>
      <c r="F119" s="40"/>
      <c r="G119" s="40"/>
      <c r="H119" s="40"/>
      <c r="I119" s="40"/>
      <c r="J119" s="67"/>
      <c r="K119" s="40"/>
      <c r="L119" s="40"/>
      <c r="M119" s="42"/>
    </row>
    <row r="120" spans="1:13" x14ac:dyDescent="0.25">
      <c r="A120" s="40"/>
      <c r="B120" s="40"/>
      <c r="C120" s="41"/>
      <c r="D120" s="41"/>
      <c r="E120" s="40"/>
      <c r="F120" s="40"/>
      <c r="G120" s="40"/>
      <c r="H120" s="40"/>
      <c r="I120" s="40"/>
      <c r="J120" s="67"/>
      <c r="K120" s="40"/>
      <c r="L120" s="40"/>
      <c r="M120" s="42"/>
    </row>
    <row r="121" spans="1:13" x14ac:dyDescent="0.25">
      <c r="A121" s="40"/>
      <c r="B121" s="40"/>
      <c r="C121" s="41"/>
      <c r="D121" s="41"/>
      <c r="E121" s="40"/>
      <c r="F121" s="40"/>
      <c r="G121" s="40"/>
      <c r="H121" s="40"/>
      <c r="I121" s="40"/>
      <c r="J121" s="67"/>
      <c r="K121" s="40"/>
      <c r="L121" s="40"/>
      <c r="M121" s="42"/>
    </row>
    <row r="122" spans="1:13" x14ac:dyDescent="0.25">
      <c r="A122" s="40"/>
      <c r="B122" s="40"/>
      <c r="C122" s="41"/>
      <c r="D122" s="41"/>
      <c r="E122" s="40"/>
      <c r="F122" s="40"/>
      <c r="G122" s="40"/>
      <c r="H122" s="40"/>
      <c r="I122" s="40"/>
      <c r="J122" s="67"/>
      <c r="K122" s="40"/>
      <c r="L122" s="40"/>
      <c r="M122" s="42"/>
    </row>
    <row r="123" spans="1:13" x14ac:dyDescent="0.25">
      <c r="A123" s="40"/>
      <c r="B123" s="40"/>
      <c r="C123" s="41"/>
      <c r="D123" s="48"/>
      <c r="E123" s="40"/>
      <c r="F123" s="40"/>
      <c r="G123" s="40"/>
      <c r="H123" s="40"/>
      <c r="I123" s="40"/>
      <c r="J123" s="67"/>
      <c r="K123" s="40"/>
      <c r="L123" s="40"/>
      <c r="M123" s="42"/>
    </row>
    <row r="124" spans="1:13" x14ac:dyDescent="0.25">
      <c r="A124" s="40"/>
      <c r="B124" s="40"/>
      <c r="C124" s="41"/>
      <c r="D124" s="41"/>
      <c r="E124" s="40"/>
      <c r="F124" s="40"/>
      <c r="G124" s="40"/>
      <c r="H124" s="40"/>
      <c r="I124" s="40"/>
      <c r="J124" s="67"/>
      <c r="K124" s="40"/>
      <c r="L124" s="40"/>
      <c r="M124" s="42"/>
    </row>
    <row r="125" spans="1:13" x14ac:dyDescent="0.25">
      <c r="A125" s="40"/>
      <c r="B125" s="40"/>
      <c r="C125" s="41"/>
      <c r="D125" s="41"/>
      <c r="E125" s="40"/>
      <c r="F125" s="40"/>
      <c r="G125" s="40"/>
      <c r="H125" s="40"/>
      <c r="I125" s="40"/>
      <c r="J125" s="67"/>
      <c r="K125" s="40"/>
      <c r="L125" s="40"/>
      <c r="M125" s="42"/>
    </row>
    <row r="126" spans="1:13" x14ac:dyDescent="0.25">
      <c r="A126" s="40"/>
      <c r="B126" s="40"/>
      <c r="C126" s="41"/>
      <c r="D126" s="41"/>
      <c r="E126" s="40"/>
      <c r="F126" s="40"/>
      <c r="G126" s="40"/>
      <c r="H126" s="40"/>
      <c r="I126" s="40"/>
      <c r="J126" s="67"/>
      <c r="K126" s="40"/>
      <c r="L126" s="40"/>
      <c r="M126" s="42"/>
    </row>
    <row r="127" spans="1:13" x14ac:dyDescent="0.25">
      <c r="A127" s="40"/>
      <c r="B127" s="40"/>
      <c r="C127" s="41"/>
      <c r="D127" s="41"/>
      <c r="E127" s="40"/>
      <c r="F127" s="40"/>
      <c r="G127" s="40"/>
      <c r="H127" s="40"/>
      <c r="I127" s="40"/>
      <c r="J127" s="67"/>
      <c r="K127" s="40"/>
      <c r="L127" s="40"/>
      <c r="M127" s="42"/>
    </row>
    <row r="128" spans="1:13" x14ac:dyDescent="0.25">
      <c r="A128" s="40"/>
      <c r="B128" s="40"/>
      <c r="C128" s="41"/>
      <c r="D128" s="41"/>
      <c r="E128" s="40"/>
      <c r="F128" s="40"/>
      <c r="G128" s="40"/>
      <c r="H128" s="40"/>
      <c r="I128" s="40"/>
      <c r="J128" s="67"/>
      <c r="K128" s="40"/>
      <c r="L128" s="40"/>
      <c r="M128" s="42"/>
    </row>
    <row r="129" spans="1:13" x14ac:dyDescent="0.25">
      <c r="A129" s="40"/>
      <c r="B129" s="40"/>
      <c r="C129" s="41"/>
      <c r="D129" s="41"/>
      <c r="E129" s="40"/>
      <c r="F129" s="40"/>
      <c r="G129" s="40"/>
      <c r="H129" s="40"/>
      <c r="I129" s="40"/>
      <c r="J129" s="67"/>
      <c r="K129" s="40"/>
      <c r="L129" s="40"/>
      <c r="M129" s="42"/>
    </row>
    <row r="130" spans="1:13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2"/>
      <c r="M130" s="42"/>
    </row>
    <row r="131" spans="1:13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2"/>
      <c r="M131" s="42"/>
    </row>
    <row r="132" spans="1:13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2"/>
      <c r="M132" s="42"/>
    </row>
    <row r="133" spans="1:13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2"/>
      <c r="M133" s="42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topLeftCell="A43" workbookViewId="0">
      <selection activeCell="E39" sqref="E39"/>
    </sheetView>
  </sheetViews>
  <sheetFormatPr baseColWidth="10" defaultRowHeight="15" x14ac:dyDescent="0.25"/>
  <cols>
    <col min="2" max="2" width="23" customWidth="1"/>
    <col min="3" max="3" width="13.7109375" customWidth="1"/>
    <col min="4" max="4" width="12.85546875" customWidth="1"/>
    <col min="8" max="8" width="25.42578125" customWidth="1"/>
    <col min="10" max="10" width="19.140625" customWidth="1"/>
  </cols>
  <sheetData>
    <row r="1" spans="1:11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1843</v>
      </c>
      <c r="J1" s="3"/>
      <c r="K1" s="3" t="s">
        <v>1844</v>
      </c>
    </row>
    <row r="2" spans="1:11" x14ac:dyDescent="0.25">
      <c r="A2" s="40" t="s">
        <v>1839</v>
      </c>
      <c r="B2" s="40" t="s">
        <v>1901</v>
      </c>
      <c r="C2" s="41">
        <v>45597</v>
      </c>
      <c r="D2" s="48">
        <v>45603</v>
      </c>
      <c r="E2" s="52">
        <f t="shared" ref="E2:E65" si="0">D2-C2+1</f>
        <v>7</v>
      </c>
      <c r="F2" s="40">
        <v>61</v>
      </c>
      <c r="G2" s="40" t="s">
        <v>12</v>
      </c>
      <c r="H2" s="40" t="s">
        <v>1902</v>
      </c>
      <c r="I2" s="40" t="s">
        <v>1903</v>
      </c>
      <c r="J2" s="40"/>
      <c r="K2" s="67" t="s">
        <v>13</v>
      </c>
    </row>
    <row r="3" spans="1:11" s="65" customFormat="1" x14ac:dyDescent="0.25">
      <c r="A3" s="60" t="s">
        <v>2042</v>
      </c>
      <c r="B3" s="60" t="s">
        <v>2043</v>
      </c>
      <c r="C3" s="61">
        <v>45598</v>
      </c>
      <c r="D3" s="61"/>
      <c r="E3" s="63">
        <f t="shared" si="0"/>
        <v>-45597</v>
      </c>
      <c r="F3" s="60">
        <v>30</v>
      </c>
      <c r="G3" s="60" t="s">
        <v>12</v>
      </c>
      <c r="H3" s="60" t="s">
        <v>2044</v>
      </c>
      <c r="I3" s="60" t="s">
        <v>2045</v>
      </c>
      <c r="J3" s="60"/>
      <c r="K3" s="60"/>
    </row>
    <row r="4" spans="1:11" x14ac:dyDescent="0.25">
      <c r="A4" s="40" t="s">
        <v>2046</v>
      </c>
      <c r="B4" s="40" t="s">
        <v>2047</v>
      </c>
      <c r="C4" s="41">
        <v>45629</v>
      </c>
      <c r="D4" s="41"/>
      <c r="E4" s="52">
        <f t="shared" si="0"/>
        <v>-45628</v>
      </c>
      <c r="F4" s="40">
        <v>50</v>
      </c>
      <c r="G4" s="40" t="s">
        <v>14</v>
      </c>
      <c r="H4" s="40" t="s">
        <v>2048</v>
      </c>
      <c r="I4" s="40" t="s">
        <v>2049</v>
      </c>
      <c r="J4" s="40"/>
      <c r="K4" s="40"/>
    </row>
    <row r="5" spans="1:11" x14ac:dyDescent="0.25">
      <c r="A5" s="40" t="s">
        <v>2050</v>
      </c>
      <c r="B5" s="40" t="s">
        <v>2051</v>
      </c>
      <c r="C5" s="41">
        <v>45630</v>
      </c>
      <c r="D5" s="130"/>
      <c r="E5" s="52">
        <f t="shared" si="0"/>
        <v>-45629</v>
      </c>
      <c r="F5" s="40">
        <v>76</v>
      </c>
      <c r="G5" s="40" t="s">
        <v>14</v>
      </c>
      <c r="H5" s="40" t="s">
        <v>2052</v>
      </c>
      <c r="I5" s="40" t="s">
        <v>2053</v>
      </c>
      <c r="J5" s="40"/>
      <c r="K5" s="40"/>
    </row>
    <row r="6" spans="1:11" x14ac:dyDescent="0.25">
      <c r="A6" s="40" t="s">
        <v>2026</v>
      </c>
      <c r="B6" s="40" t="s">
        <v>2027</v>
      </c>
      <c r="C6" s="41">
        <v>45600</v>
      </c>
      <c r="D6" s="48">
        <v>45602</v>
      </c>
      <c r="E6" s="52">
        <f t="shared" si="0"/>
        <v>3</v>
      </c>
      <c r="F6" s="40">
        <v>14</v>
      </c>
      <c r="G6" s="40" t="s">
        <v>12</v>
      </c>
      <c r="H6" s="40" t="s">
        <v>2028</v>
      </c>
      <c r="I6" s="40" t="s">
        <v>2030</v>
      </c>
      <c r="J6" s="40" t="s">
        <v>2029</v>
      </c>
      <c r="K6" s="67" t="s">
        <v>13</v>
      </c>
    </row>
    <row r="7" spans="1:11" s="129" customFormat="1" x14ac:dyDescent="0.25">
      <c r="A7" s="123" t="s">
        <v>2054</v>
      </c>
      <c r="B7" s="123" t="s">
        <v>2055</v>
      </c>
      <c r="C7" s="124">
        <v>45601</v>
      </c>
      <c r="D7" s="125"/>
      <c r="E7" s="126">
        <f t="shared" si="0"/>
        <v>-45600</v>
      </c>
      <c r="F7" s="123">
        <v>15</v>
      </c>
      <c r="G7" s="123" t="s">
        <v>12</v>
      </c>
      <c r="H7" s="123" t="s">
        <v>2056</v>
      </c>
      <c r="I7" s="127" t="s">
        <v>145</v>
      </c>
      <c r="J7" s="123"/>
      <c r="K7" s="123"/>
    </row>
    <row r="8" spans="1:11" x14ac:dyDescent="0.25">
      <c r="A8" s="40" t="s">
        <v>1904</v>
      </c>
      <c r="B8" s="40" t="s">
        <v>80</v>
      </c>
      <c r="C8" s="41">
        <v>45602</v>
      </c>
      <c r="D8" s="41">
        <v>45603</v>
      </c>
      <c r="E8" s="52">
        <f t="shared" si="0"/>
        <v>2</v>
      </c>
      <c r="F8" s="40">
        <v>29</v>
      </c>
      <c r="G8" s="40" t="s">
        <v>12</v>
      </c>
      <c r="H8" s="40" t="s">
        <v>1905</v>
      </c>
      <c r="I8" s="40" t="s">
        <v>1906</v>
      </c>
      <c r="J8" s="40"/>
      <c r="K8" s="71" t="s">
        <v>1907</v>
      </c>
    </row>
    <row r="9" spans="1:11" x14ac:dyDescent="0.25">
      <c r="A9" s="40" t="s">
        <v>1840</v>
      </c>
      <c r="B9" s="40" t="s">
        <v>1841</v>
      </c>
      <c r="C9" s="41">
        <v>45602</v>
      </c>
      <c r="D9" s="48">
        <v>45612</v>
      </c>
      <c r="E9" s="52">
        <f t="shared" si="0"/>
        <v>11</v>
      </c>
      <c r="F9" s="40">
        <v>58</v>
      </c>
      <c r="G9" s="40" t="s">
        <v>12</v>
      </c>
      <c r="H9" s="40" t="s">
        <v>1842</v>
      </c>
      <c r="I9" s="40" t="s">
        <v>1845</v>
      </c>
      <c r="J9" s="40"/>
      <c r="K9" s="67" t="s">
        <v>13</v>
      </c>
    </row>
    <row r="10" spans="1:11" s="65" customFormat="1" x14ac:dyDescent="0.25">
      <c r="A10" s="60" t="s">
        <v>2057</v>
      </c>
      <c r="B10" s="60" t="s">
        <v>2058</v>
      </c>
      <c r="C10" s="61">
        <v>45603</v>
      </c>
      <c r="D10" s="61"/>
      <c r="E10" s="63">
        <f t="shared" si="0"/>
        <v>-45602</v>
      </c>
      <c r="F10" s="60">
        <v>57</v>
      </c>
      <c r="G10" s="60" t="s">
        <v>14</v>
      </c>
      <c r="H10" s="60" t="s">
        <v>2059</v>
      </c>
      <c r="I10" s="60" t="s">
        <v>2060</v>
      </c>
      <c r="J10" s="60"/>
      <c r="K10" s="60"/>
    </row>
    <row r="11" spans="1:11" x14ac:dyDescent="0.25">
      <c r="A11" s="40" t="s">
        <v>1971</v>
      </c>
      <c r="B11" s="40" t="s">
        <v>1972</v>
      </c>
      <c r="C11" s="41">
        <v>45603</v>
      </c>
      <c r="D11" s="74">
        <v>45617</v>
      </c>
      <c r="E11" s="52">
        <f t="shared" si="0"/>
        <v>15</v>
      </c>
      <c r="F11" s="40">
        <v>43</v>
      </c>
      <c r="G11" s="40" t="s">
        <v>12</v>
      </c>
      <c r="H11" s="40" t="s">
        <v>1973</v>
      </c>
      <c r="I11" s="40" t="s">
        <v>1974</v>
      </c>
      <c r="J11" s="40"/>
      <c r="K11" s="40"/>
    </row>
    <row r="12" spans="1:11" x14ac:dyDescent="0.25">
      <c r="A12" s="40" t="s">
        <v>1862</v>
      </c>
      <c r="B12" s="40" t="s">
        <v>1397</v>
      </c>
      <c r="C12" s="41">
        <v>45604</v>
      </c>
      <c r="D12" s="74">
        <v>45608</v>
      </c>
      <c r="E12" s="52">
        <f t="shared" si="0"/>
        <v>5</v>
      </c>
      <c r="F12" s="131">
        <v>32</v>
      </c>
      <c r="G12" s="40" t="s">
        <v>14</v>
      </c>
      <c r="H12" s="40" t="s">
        <v>1398</v>
      </c>
      <c r="I12" s="40" t="s">
        <v>1863</v>
      </c>
      <c r="J12" s="40"/>
      <c r="K12" s="40"/>
    </row>
    <row r="13" spans="1:11" x14ac:dyDescent="0.25">
      <c r="A13" s="40" t="s">
        <v>2061</v>
      </c>
      <c r="B13" s="40" t="s">
        <v>2062</v>
      </c>
      <c r="C13" s="41">
        <v>45604</v>
      </c>
      <c r="D13" s="48"/>
      <c r="E13" s="52">
        <f t="shared" si="0"/>
        <v>-45603</v>
      </c>
      <c r="F13" s="40">
        <v>27</v>
      </c>
      <c r="G13" s="40" t="s">
        <v>14</v>
      </c>
      <c r="H13" s="40" t="s">
        <v>2063</v>
      </c>
      <c r="I13" s="40" t="s">
        <v>266</v>
      </c>
      <c r="J13" s="40" t="s">
        <v>266</v>
      </c>
      <c r="K13" s="40"/>
    </row>
    <row r="14" spans="1:11" s="65" customFormat="1" x14ac:dyDescent="0.25">
      <c r="A14" s="60" t="s">
        <v>1874</v>
      </c>
      <c r="B14" s="60" t="s">
        <v>1875</v>
      </c>
      <c r="C14" s="61">
        <v>45605</v>
      </c>
      <c r="D14" s="61">
        <v>45614</v>
      </c>
      <c r="E14" s="63">
        <f t="shared" si="0"/>
        <v>10</v>
      </c>
      <c r="F14" s="60">
        <v>33</v>
      </c>
      <c r="G14" s="60" t="s">
        <v>12</v>
      </c>
      <c r="H14" s="60" t="s">
        <v>1876</v>
      </c>
      <c r="I14" s="60" t="s">
        <v>1877</v>
      </c>
      <c r="J14" s="60"/>
      <c r="K14" s="60"/>
    </row>
    <row r="15" spans="1:11" s="19" customFormat="1" x14ac:dyDescent="0.25">
      <c r="A15" s="40" t="s">
        <v>2038</v>
      </c>
      <c r="B15" s="40" t="s">
        <v>2039</v>
      </c>
      <c r="C15" s="41">
        <v>45606</v>
      </c>
      <c r="D15" s="48">
        <v>45627</v>
      </c>
      <c r="E15" s="52">
        <f t="shared" si="0"/>
        <v>22</v>
      </c>
      <c r="F15" s="40">
        <v>34</v>
      </c>
      <c r="G15" s="40" t="s">
        <v>12</v>
      </c>
      <c r="H15" s="40" t="s">
        <v>2040</v>
      </c>
      <c r="I15" s="40" t="s">
        <v>2041</v>
      </c>
      <c r="J15" s="40"/>
      <c r="K15" s="67" t="s">
        <v>13</v>
      </c>
    </row>
    <row r="16" spans="1:11" x14ac:dyDescent="0.25">
      <c r="A16" s="40" t="s">
        <v>1975</v>
      </c>
      <c r="B16" s="40" t="s">
        <v>1976</v>
      </c>
      <c r="C16" s="41">
        <v>45606</v>
      </c>
      <c r="D16" s="74">
        <v>45622</v>
      </c>
      <c r="E16" s="52">
        <f t="shared" si="0"/>
        <v>17</v>
      </c>
      <c r="F16" s="40">
        <v>23</v>
      </c>
      <c r="G16" s="40" t="s">
        <v>14</v>
      </c>
      <c r="H16" s="40" t="s">
        <v>1977</v>
      </c>
      <c r="I16" s="40" t="s">
        <v>1978</v>
      </c>
      <c r="J16" s="40"/>
      <c r="K16" s="40"/>
    </row>
    <row r="17" spans="1:12" s="19" customFormat="1" x14ac:dyDescent="0.25">
      <c r="A17" s="40" t="s">
        <v>1864</v>
      </c>
      <c r="B17" s="40"/>
      <c r="C17" s="41">
        <v>45608</v>
      </c>
      <c r="D17" s="41">
        <v>45610</v>
      </c>
      <c r="E17" s="52">
        <f t="shared" si="0"/>
        <v>3</v>
      </c>
      <c r="F17" s="40">
        <v>31</v>
      </c>
      <c r="G17" s="40" t="s">
        <v>12</v>
      </c>
      <c r="H17" s="40" t="s">
        <v>1865</v>
      </c>
      <c r="I17" s="40" t="s">
        <v>1866</v>
      </c>
      <c r="J17" s="40"/>
      <c r="K17" s="40"/>
    </row>
    <row r="18" spans="1:12" x14ac:dyDescent="0.25">
      <c r="A18" s="40" t="s">
        <v>1914</v>
      </c>
      <c r="B18" s="40" t="s">
        <v>1915</v>
      </c>
      <c r="C18" s="41"/>
      <c r="D18" s="41">
        <v>45616</v>
      </c>
      <c r="E18" s="52">
        <f t="shared" si="0"/>
        <v>45617</v>
      </c>
      <c r="F18" s="40">
        <v>45</v>
      </c>
      <c r="G18" s="40" t="s">
        <v>12</v>
      </c>
      <c r="H18" s="40" t="s">
        <v>1916</v>
      </c>
      <c r="I18" s="40" t="s">
        <v>1917</v>
      </c>
      <c r="J18" s="40"/>
      <c r="K18" s="40"/>
    </row>
    <row r="19" spans="1:12" x14ac:dyDescent="0.25">
      <c r="A19" s="40" t="s">
        <v>1882</v>
      </c>
      <c r="B19" s="40" t="s">
        <v>1883</v>
      </c>
      <c r="C19" s="41">
        <v>45608</v>
      </c>
      <c r="D19" s="74">
        <v>45614</v>
      </c>
      <c r="E19" s="52">
        <f t="shared" si="0"/>
        <v>7</v>
      </c>
      <c r="F19" s="40">
        <v>48</v>
      </c>
      <c r="G19" s="40" t="s">
        <v>14</v>
      </c>
      <c r="H19" s="40" t="s">
        <v>1884</v>
      </c>
      <c r="I19" s="40" t="s">
        <v>1885</v>
      </c>
      <c r="J19" s="40"/>
      <c r="K19" s="40"/>
    </row>
    <row r="20" spans="1:12" x14ac:dyDescent="0.25">
      <c r="A20" s="40" t="s">
        <v>2068</v>
      </c>
      <c r="B20" s="40" t="s">
        <v>2069</v>
      </c>
      <c r="C20" s="41">
        <v>45609</v>
      </c>
      <c r="D20" s="48">
        <v>45641</v>
      </c>
      <c r="E20" s="52">
        <f t="shared" si="0"/>
        <v>33</v>
      </c>
      <c r="F20" s="40">
        <v>74</v>
      </c>
      <c r="G20" s="40" t="s">
        <v>14</v>
      </c>
      <c r="H20" s="40" t="s">
        <v>2258</v>
      </c>
      <c r="I20" s="40" t="s">
        <v>1870</v>
      </c>
      <c r="J20" s="40"/>
      <c r="K20" s="67" t="s">
        <v>13</v>
      </c>
    </row>
    <row r="21" spans="1:12" s="65" customFormat="1" x14ac:dyDescent="0.25">
      <c r="A21" s="60" t="s">
        <v>1859</v>
      </c>
      <c r="B21" s="60" t="s">
        <v>1860</v>
      </c>
      <c r="C21" s="61">
        <v>45609</v>
      </c>
      <c r="D21" s="61">
        <v>45611</v>
      </c>
      <c r="E21" s="63">
        <f t="shared" si="0"/>
        <v>3</v>
      </c>
      <c r="F21" s="60">
        <v>36</v>
      </c>
      <c r="G21" s="60" t="s">
        <v>14</v>
      </c>
      <c r="H21" s="60" t="s">
        <v>1861</v>
      </c>
      <c r="I21" s="77" t="s">
        <v>965</v>
      </c>
      <c r="J21" s="60"/>
      <c r="K21" s="60"/>
    </row>
    <row r="22" spans="1:12" x14ac:dyDescent="0.25">
      <c r="A22" s="40" t="s">
        <v>1941</v>
      </c>
      <c r="B22" s="40" t="s">
        <v>1942</v>
      </c>
      <c r="C22" s="41">
        <v>45609</v>
      </c>
      <c r="D22" s="41">
        <v>45617</v>
      </c>
      <c r="E22" s="52">
        <f t="shared" si="0"/>
        <v>9</v>
      </c>
      <c r="F22" s="40">
        <v>55</v>
      </c>
      <c r="G22" s="40" t="s">
        <v>12</v>
      </c>
      <c r="H22" s="40" t="s">
        <v>1943</v>
      </c>
      <c r="I22" s="40" t="s">
        <v>1040</v>
      </c>
      <c r="J22" s="40"/>
      <c r="K22" s="40"/>
    </row>
    <row r="23" spans="1:12" x14ac:dyDescent="0.25">
      <c r="A23" s="40" t="s">
        <v>1925</v>
      </c>
      <c r="B23" s="40" t="s">
        <v>1926</v>
      </c>
      <c r="C23" s="41">
        <v>45609</v>
      </c>
      <c r="D23" s="74">
        <v>45611</v>
      </c>
      <c r="E23" s="52">
        <f t="shared" si="0"/>
        <v>3</v>
      </c>
      <c r="F23" s="40">
        <v>55</v>
      </c>
      <c r="G23" s="40" t="s">
        <v>12</v>
      </c>
      <c r="H23" s="40" t="s">
        <v>1927</v>
      </c>
      <c r="I23" s="40" t="s">
        <v>1928</v>
      </c>
      <c r="J23" s="40"/>
      <c r="K23" s="40"/>
    </row>
    <row r="24" spans="1:12" x14ac:dyDescent="0.25">
      <c r="A24" s="40" t="s">
        <v>1867</v>
      </c>
      <c r="B24" s="40" t="s">
        <v>1868</v>
      </c>
      <c r="C24" s="41">
        <v>45609</v>
      </c>
      <c r="D24" s="48">
        <v>45615</v>
      </c>
      <c r="E24" s="52">
        <f t="shared" si="0"/>
        <v>7</v>
      </c>
      <c r="F24" s="40">
        <v>33</v>
      </c>
      <c r="G24" s="40" t="s">
        <v>12</v>
      </c>
      <c r="H24" s="40" t="s">
        <v>1869</v>
      </c>
      <c r="I24" s="40" t="s">
        <v>1870</v>
      </c>
      <c r="J24" s="40"/>
      <c r="K24" s="67" t="s">
        <v>13</v>
      </c>
    </row>
    <row r="25" spans="1:12" x14ac:dyDescent="0.25">
      <c r="A25" s="40" t="s">
        <v>1984</v>
      </c>
      <c r="B25" s="40" t="s">
        <v>1985</v>
      </c>
      <c r="C25" s="41">
        <v>45609</v>
      </c>
      <c r="D25" s="41">
        <v>45621</v>
      </c>
      <c r="E25" s="52">
        <f t="shared" si="0"/>
        <v>13</v>
      </c>
      <c r="F25" s="40">
        <v>69</v>
      </c>
      <c r="G25" s="40" t="s">
        <v>12</v>
      </c>
      <c r="H25" s="40" t="s">
        <v>1986</v>
      </c>
      <c r="I25" s="40" t="s">
        <v>1987</v>
      </c>
      <c r="J25" s="40"/>
      <c r="K25" s="40"/>
    </row>
    <row r="26" spans="1:12" x14ac:dyDescent="0.25">
      <c r="A26" s="40" t="s">
        <v>2010</v>
      </c>
      <c r="B26" s="40" t="s">
        <v>2011</v>
      </c>
      <c r="C26" s="41">
        <v>45610</v>
      </c>
      <c r="D26" s="41">
        <v>45628</v>
      </c>
      <c r="E26" s="52">
        <f t="shared" si="0"/>
        <v>19</v>
      </c>
      <c r="F26" s="40">
        <v>24</v>
      </c>
      <c r="G26" s="40" t="s">
        <v>12</v>
      </c>
      <c r="H26" s="40" t="s">
        <v>2012</v>
      </c>
      <c r="I26" s="40" t="s">
        <v>2013</v>
      </c>
      <c r="J26" s="40"/>
      <c r="K26" s="40"/>
    </row>
    <row r="27" spans="1:12" x14ac:dyDescent="0.25">
      <c r="A27" s="40" t="s">
        <v>2070</v>
      </c>
      <c r="B27" s="40" t="s">
        <v>2071</v>
      </c>
      <c r="C27" s="41">
        <v>45610</v>
      </c>
      <c r="D27" s="48">
        <v>45637</v>
      </c>
      <c r="E27" s="52">
        <f t="shared" si="0"/>
        <v>28</v>
      </c>
      <c r="F27" s="40">
        <v>38</v>
      </c>
      <c r="G27" s="40" t="s">
        <v>12</v>
      </c>
      <c r="H27" s="40" t="s">
        <v>2072</v>
      </c>
      <c r="I27" s="40" t="s">
        <v>2086</v>
      </c>
      <c r="J27" s="40"/>
      <c r="K27" s="67" t="s">
        <v>13</v>
      </c>
    </row>
    <row r="28" spans="1:12" s="65" customFormat="1" x14ac:dyDescent="0.25">
      <c r="A28" s="60" t="s">
        <v>1878</v>
      </c>
      <c r="B28" s="60" t="s">
        <v>1879</v>
      </c>
      <c r="C28" s="61">
        <v>45610</v>
      </c>
      <c r="D28" s="61">
        <v>45614</v>
      </c>
      <c r="E28" s="63">
        <f t="shared" si="0"/>
        <v>5</v>
      </c>
      <c r="F28" s="60">
        <v>23</v>
      </c>
      <c r="G28" s="60" t="s">
        <v>12</v>
      </c>
      <c r="H28" s="60" t="s">
        <v>1880</v>
      </c>
      <c r="I28" s="77" t="s">
        <v>1881</v>
      </c>
      <c r="J28" s="60"/>
      <c r="K28" s="60"/>
    </row>
    <row r="29" spans="1:12" x14ac:dyDescent="0.25">
      <c r="A29" s="40" t="s">
        <v>1929</v>
      </c>
      <c r="B29" s="40" t="s">
        <v>1930</v>
      </c>
      <c r="C29" s="41">
        <v>45610</v>
      </c>
      <c r="D29" s="74">
        <v>45616</v>
      </c>
      <c r="E29" s="52">
        <f t="shared" si="0"/>
        <v>7</v>
      </c>
      <c r="F29" s="40">
        <v>87</v>
      </c>
      <c r="G29" s="40" t="s">
        <v>12</v>
      </c>
      <c r="H29" s="40" t="s">
        <v>1931</v>
      </c>
      <c r="I29" s="40" t="s">
        <v>1932</v>
      </c>
      <c r="J29" s="40"/>
      <c r="K29" s="40"/>
    </row>
    <row r="30" spans="1:12" x14ac:dyDescent="0.25">
      <c r="A30" s="40" t="s">
        <v>2073</v>
      </c>
      <c r="B30" s="40" t="s">
        <v>2074</v>
      </c>
      <c r="C30" s="41">
        <v>45610</v>
      </c>
      <c r="D30" s="74">
        <v>45631</v>
      </c>
      <c r="E30" s="52">
        <f t="shared" si="0"/>
        <v>22</v>
      </c>
      <c r="F30" s="40">
        <v>51</v>
      </c>
      <c r="G30" s="40" t="s">
        <v>12</v>
      </c>
      <c r="H30" s="40" t="s">
        <v>2075</v>
      </c>
      <c r="I30" s="40" t="s">
        <v>16</v>
      </c>
      <c r="J30" s="40"/>
      <c r="K30" s="40"/>
    </row>
    <row r="31" spans="1:12" x14ac:dyDescent="0.25">
      <c r="A31" s="40" t="s">
        <v>1848</v>
      </c>
      <c r="B31" s="40" t="s">
        <v>1849</v>
      </c>
      <c r="C31" s="41">
        <v>45610</v>
      </c>
      <c r="D31" s="41">
        <v>45611</v>
      </c>
      <c r="E31" s="52">
        <f t="shared" si="0"/>
        <v>2</v>
      </c>
      <c r="F31" s="40">
        <v>47</v>
      </c>
      <c r="G31" s="40" t="s">
        <v>14</v>
      </c>
      <c r="H31" s="40" t="s">
        <v>558</v>
      </c>
      <c r="I31" s="40" t="s">
        <v>1850</v>
      </c>
      <c r="J31" s="40"/>
      <c r="K31" s="40"/>
      <c r="L31" s="40"/>
    </row>
    <row r="32" spans="1:12" x14ac:dyDescent="0.25">
      <c r="A32" s="40" t="s">
        <v>1855</v>
      </c>
      <c r="B32" s="40" t="s">
        <v>1856</v>
      </c>
      <c r="C32" s="41">
        <v>45610</v>
      </c>
      <c r="D32" s="41">
        <v>45580</v>
      </c>
      <c r="E32" s="52">
        <f t="shared" si="0"/>
        <v>-29</v>
      </c>
      <c r="F32" s="40">
        <v>42</v>
      </c>
      <c r="G32" s="40" t="s">
        <v>14</v>
      </c>
      <c r="H32" s="40" t="s">
        <v>1857</v>
      </c>
      <c r="I32" s="40" t="s">
        <v>1858</v>
      </c>
      <c r="J32" s="40"/>
      <c r="K32" s="40"/>
      <c r="L32" s="40"/>
    </row>
    <row r="33" spans="1:12" s="65" customFormat="1" x14ac:dyDescent="0.25">
      <c r="A33" s="60" t="s">
        <v>1851</v>
      </c>
      <c r="B33" s="60" t="s">
        <v>1852</v>
      </c>
      <c r="C33" s="61">
        <v>45611</v>
      </c>
      <c r="D33" s="61">
        <v>45611</v>
      </c>
      <c r="E33" s="63">
        <f t="shared" si="0"/>
        <v>1</v>
      </c>
      <c r="F33" s="60">
        <v>15</v>
      </c>
      <c r="G33" s="60" t="s">
        <v>14</v>
      </c>
      <c r="H33" s="60" t="s">
        <v>1853</v>
      </c>
      <c r="I33" s="60" t="s">
        <v>1854</v>
      </c>
      <c r="J33" s="60"/>
      <c r="K33" s="60"/>
      <c r="L33" s="60"/>
    </row>
    <row r="34" spans="1:12" s="65" customFormat="1" x14ac:dyDescent="0.25">
      <c r="A34" s="60" t="s">
        <v>1958</v>
      </c>
      <c r="B34" s="60" t="s">
        <v>1959</v>
      </c>
      <c r="C34" s="61">
        <v>45611</v>
      </c>
      <c r="D34" s="61">
        <v>45616</v>
      </c>
      <c r="E34" s="63">
        <f t="shared" si="0"/>
        <v>6</v>
      </c>
      <c r="F34" s="60">
        <v>25</v>
      </c>
      <c r="G34" s="60" t="s">
        <v>12</v>
      </c>
      <c r="H34" s="60" t="s">
        <v>1960</v>
      </c>
      <c r="I34" s="60" t="s">
        <v>1080</v>
      </c>
      <c r="J34" s="60"/>
      <c r="K34" s="60"/>
      <c r="L34" s="60"/>
    </row>
    <row r="35" spans="1:12" x14ac:dyDescent="0.25">
      <c r="A35" s="40" t="s">
        <v>1950</v>
      </c>
      <c r="B35" s="40" t="s">
        <v>1951</v>
      </c>
      <c r="C35" s="41">
        <v>45611</v>
      </c>
      <c r="D35" s="41">
        <v>45615</v>
      </c>
      <c r="E35" s="52">
        <f t="shared" si="0"/>
        <v>5</v>
      </c>
      <c r="F35" s="40">
        <v>71</v>
      </c>
      <c r="G35" s="40" t="s">
        <v>14</v>
      </c>
      <c r="H35" s="40" t="s">
        <v>1952</v>
      </c>
      <c r="I35" s="40" t="s">
        <v>1953</v>
      </c>
      <c r="J35" s="40"/>
      <c r="K35" s="40"/>
      <c r="L35" s="40"/>
    </row>
    <row r="36" spans="1:12" x14ac:dyDescent="0.25">
      <c r="A36" s="40" t="s">
        <v>2076</v>
      </c>
      <c r="B36" s="40" t="s">
        <v>2077</v>
      </c>
      <c r="C36" s="41">
        <v>45611</v>
      </c>
      <c r="D36" s="41">
        <v>45632</v>
      </c>
      <c r="E36" s="52">
        <f t="shared" si="0"/>
        <v>22</v>
      </c>
      <c r="F36" s="40">
        <v>38</v>
      </c>
      <c r="G36" s="40" t="s">
        <v>12</v>
      </c>
      <c r="H36" s="40" t="s">
        <v>2078</v>
      </c>
      <c r="I36" s="40" t="s">
        <v>2165</v>
      </c>
      <c r="J36" s="40"/>
      <c r="K36" s="40"/>
      <c r="L36" s="40"/>
    </row>
    <row r="37" spans="1:12" x14ac:dyDescent="0.25">
      <c r="A37" s="40" t="s">
        <v>1871</v>
      </c>
      <c r="B37" s="40" t="s">
        <v>1872</v>
      </c>
      <c r="C37" s="41">
        <v>45611</v>
      </c>
      <c r="D37" s="41">
        <v>45614</v>
      </c>
      <c r="E37" s="52">
        <f t="shared" si="0"/>
        <v>4</v>
      </c>
      <c r="F37" s="40">
        <v>48</v>
      </c>
      <c r="G37" s="40" t="s">
        <v>12</v>
      </c>
      <c r="H37" s="40" t="s">
        <v>1873</v>
      </c>
      <c r="I37" s="40" t="s">
        <v>1850</v>
      </c>
      <c r="J37" s="40"/>
      <c r="K37" s="40"/>
      <c r="L37" s="40"/>
    </row>
    <row r="38" spans="1:12" s="65" customFormat="1" x14ac:dyDescent="0.25">
      <c r="A38" s="60" t="s">
        <v>1886</v>
      </c>
      <c r="B38" s="60" t="s">
        <v>1887</v>
      </c>
      <c r="C38" s="61">
        <v>45611</v>
      </c>
      <c r="D38" s="61">
        <v>45614</v>
      </c>
      <c r="E38" s="63">
        <f t="shared" si="0"/>
        <v>4</v>
      </c>
      <c r="F38" s="60">
        <v>28</v>
      </c>
      <c r="G38" s="60" t="s">
        <v>12</v>
      </c>
      <c r="H38" s="60" t="s">
        <v>1888</v>
      </c>
      <c r="I38" s="60" t="s">
        <v>1483</v>
      </c>
      <c r="J38" s="60"/>
      <c r="K38" s="60"/>
      <c r="L38" s="60"/>
    </row>
    <row r="39" spans="1:12" s="65" customFormat="1" x14ac:dyDescent="0.25">
      <c r="A39" s="60" t="s">
        <v>1889</v>
      </c>
      <c r="B39" s="60" t="s">
        <v>58</v>
      </c>
      <c r="C39" s="61">
        <v>45611</v>
      </c>
      <c r="D39" s="61">
        <v>45614</v>
      </c>
      <c r="E39" s="63">
        <f t="shared" si="0"/>
        <v>4</v>
      </c>
      <c r="F39" s="60">
        <v>36</v>
      </c>
      <c r="G39" s="60" t="s">
        <v>14</v>
      </c>
      <c r="H39" s="60" t="s">
        <v>1890</v>
      </c>
      <c r="I39" s="77" t="s">
        <v>1891</v>
      </c>
      <c r="J39" s="60"/>
      <c r="K39" s="60"/>
      <c r="L39" s="60"/>
    </row>
    <row r="40" spans="1:12" s="65" customFormat="1" x14ac:dyDescent="0.25">
      <c r="A40" s="60" t="s">
        <v>1954</v>
      </c>
      <c r="B40" s="60" t="s">
        <v>1955</v>
      </c>
      <c r="C40" s="61">
        <v>45612</v>
      </c>
      <c r="D40" s="62">
        <v>45615</v>
      </c>
      <c r="E40" s="63">
        <f t="shared" si="0"/>
        <v>4</v>
      </c>
      <c r="F40" s="60">
        <v>75</v>
      </c>
      <c r="G40" s="60" t="s">
        <v>12</v>
      </c>
      <c r="H40" s="60" t="s">
        <v>1956</v>
      </c>
      <c r="I40" s="60" t="s">
        <v>1957</v>
      </c>
      <c r="J40" s="60"/>
      <c r="K40" s="60"/>
      <c r="L40" s="60"/>
    </row>
    <row r="41" spans="1:12" x14ac:dyDescent="0.25">
      <c r="A41" s="40" t="s">
        <v>1933</v>
      </c>
      <c r="B41" s="40" t="s">
        <v>1934</v>
      </c>
      <c r="C41" s="41">
        <v>45613</v>
      </c>
      <c r="D41" s="48">
        <v>45618</v>
      </c>
      <c r="E41" s="52">
        <f t="shared" si="0"/>
        <v>6</v>
      </c>
      <c r="F41" s="40">
        <v>73</v>
      </c>
      <c r="G41" s="40" t="s">
        <v>12</v>
      </c>
      <c r="H41" s="40" t="s">
        <v>1935</v>
      </c>
      <c r="I41" s="40" t="s">
        <v>1936</v>
      </c>
      <c r="J41" s="40"/>
      <c r="K41" s="67" t="s">
        <v>13</v>
      </c>
      <c r="L41" s="40"/>
    </row>
    <row r="42" spans="1:12" s="65" customFormat="1" x14ac:dyDescent="0.25">
      <c r="A42" s="60" t="s">
        <v>1944</v>
      </c>
      <c r="B42" s="60" t="s">
        <v>1945</v>
      </c>
      <c r="C42" s="61">
        <v>45614</v>
      </c>
      <c r="D42" s="61">
        <v>45618</v>
      </c>
      <c r="E42" s="63">
        <f t="shared" si="0"/>
        <v>5</v>
      </c>
      <c r="F42" s="60">
        <v>81</v>
      </c>
      <c r="G42" s="60" t="s">
        <v>12</v>
      </c>
      <c r="H42" s="60" t="s">
        <v>1946</v>
      </c>
      <c r="I42" s="77" t="s">
        <v>965</v>
      </c>
      <c r="J42" s="60"/>
      <c r="K42" s="60"/>
      <c r="L42" s="60"/>
    </row>
    <row r="43" spans="1:12" s="65" customFormat="1" x14ac:dyDescent="0.25">
      <c r="A43" s="60" t="s">
        <v>2081</v>
      </c>
      <c r="B43" s="60" t="s">
        <v>2082</v>
      </c>
      <c r="C43" s="61">
        <v>45614</v>
      </c>
      <c r="D43" s="61">
        <v>45624</v>
      </c>
      <c r="E43" s="63">
        <f t="shared" si="0"/>
        <v>11</v>
      </c>
      <c r="F43" s="60">
        <v>60</v>
      </c>
      <c r="G43" s="60" t="s">
        <v>14</v>
      </c>
      <c r="H43" s="60" t="s">
        <v>2154</v>
      </c>
      <c r="I43" s="60" t="s">
        <v>2083</v>
      </c>
      <c r="J43" s="60"/>
      <c r="K43" s="64" t="s">
        <v>867</v>
      </c>
      <c r="L43" s="60"/>
    </row>
    <row r="44" spans="1:12" s="65" customFormat="1" x14ac:dyDescent="0.25">
      <c r="A44" s="60" t="s">
        <v>1968</v>
      </c>
      <c r="B44" s="60" t="s">
        <v>1969</v>
      </c>
      <c r="C44" s="61">
        <v>45615</v>
      </c>
      <c r="D44" s="61">
        <v>45622</v>
      </c>
      <c r="E44" s="63">
        <f t="shared" si="0"/>
        <v>8</v>
      </c>
      <c r="F44" s="60">
        <v>27</v>
      </c>
      <c r="G44" s="60" t="s">
        <v>12</v>
      </c>
      <c r="H44" s="60" t="s">
        <v>1970</v>
      </c>
      <c r="I44" s="60" t="s">
        <v>1080</v>
      </c>
      <c r="J44" s="60"/>
      <c r="K44" s="60"/>
      <c r="L44" s="60"/>
    </row>
    <row r="45" spans="1:12" x14ac:dyDescent="0.25">
      <c r="A45" s="40" t="s">
        <v>1910</v>
      </c>
      <c r="B45" s="40" t="s">
        <v>1911</v>
      </c>
      <c r="C45" s="41">
        <v>45616</v>
      </c>
      <c r="D45" s="74">
        <v>45621</v>
      </c>
      <c r="E45" s="52">
        <f t="shared" si="0"/>
        <v>6</v>
      </c>
      <c r="F45" s="40">
        <v>21</v>
      </c>
      <c r="G45" s="40" t="s">
        <v>12</v>
      </c>
      <c r="H45" s="40" t="s">
        <v>1912</v>
      </c>
      <c r="I45" s="40" t="s">
        <v>1913</v>
      </c>
      <c r="J45" s="40"/>
      <c r="K45" s="40"/>
      <c r="L45" s="40"/>
    </row>
    <row r="46" spans="1:12" x14ac:dyDescent="0.25">
      <c r="A46" s="40" t="s">
        <v>1937</v>
      </c>
      <c r="B46" s="40" t="s">
        <v>1938</v>
      </c>
      <c r="C46" s="41">
        <v>45616</v>
      </c>
      <c r="D46" s="41">
        <v>45621</v>
      </c>
      <c r="E46" s="52">
        <f t="shared" si="0"/>
        <v>6</v>
      </c>
      <c r="F46" s="40">
        <v>27</v>
      </c>
      <c r="G46" s="40" t="s">
        <v>12</v>
      </c>
      <c r="H46" s="40" t="s">
        <v>1939</v>
      </c>
      <c r="I46" s="40" t="s">
        <v>1940</v>
      </c>
      <c r="J46" s="40"/>
      <c r="K46" s="40"/>
      <c r="L46" s="40"/>
    </row>
    <row r="47" spans="1:12" x14ac:dyDescent="0.25">
      <c r="A47" s="40" t="s">
        <v>1979</v>
      </c>
      <c r="B47" s="40" t="s">
        <v>1980</v>
      </c>
      <c r="C47" s="41">
        <v>45616</v>
      </c>
      <c r="D47" s="41">
        <v>45621</v>
      </c>
      <c r="E47" s="52">
        <f t="shared" si="0"/>
        <v>6</v>
      </c>
      <c r="F47" s="40">
        <v>59</v>
      </c>
      <c r="G47" s="40" t="s">
        <v>14</v>
      </c>
      <c r="H47" s="40" t="s">
        <v>1981</v>
      </c>
      <c r="I47" s="40" t="s">
        <v>1982</v>
      </c>
      <c r="J47" s="40"/>
      <c r="K47" s="40"/>
      <c r="L47" s="40"/>
    </row>
    <row r="48" spans="1:12" x14ac:dyDescent="0.25">
      <c r="A48" s="40" t="s">
        <v>2006</v>
      </c>
      <c r="B48" s="40" t="s">
        <v>2007</v>
      </c>
      <c r="C48" s="41">
        <v>45617</v>
      </c>
      <c r="D48" s="41">
        <v>45625</v>
      </c>
      <c r="E48" s="52">
        <f t="shared" si="0"/>
        <v>9</v>
      </c>
      <c r="F48" s="40">
        <v>31</v>
      </c>
      <c r="G48" s="40" t="s">
        <v>12</v>
      </c>
      <c r="H48" s="40" t="s">
        <v>2008</v>
      </c>
      <c r="I48" s="40" t="s">
        <v>2009</v>
      </c>
      <c r="J48" s="40"/>
      <c r="K48" s="40"/>
      <c r="L48" s="40"/>
    </row>
    <row r="49" spans="1:12" s="65" customFormat="1" x14ac:dyDescent="0.25">
      <c r="A49" s="60" t="s">
        <v>1961</v>
      </c>
      <c r="B49" s="60" t="s">
        <v>1962</v>
      </c>
      <c r="C49" s="61">
        <v>45618</v>
      </c>
      <c r="D49" s="61">
        <v>45623</v>
      </c>
      <c r="E49" s="63">
        <f t="shared" si="0"/>
        <v>6</v>
      </c>
      <c r="F49" s="60">
        <v>33</v>
      </c>
      <c r="G49" s="60" t="s">
        <v>12</v>
      </c>
      <c r="H49" s="60" t="s">
        <v>1963</v>
      </c>
      <c r="I49" s="60" t="s">
        <v>1964</v>
      </c>
      <c r="J49" s="60"/>
      <c r="K49" s="64" t="s">
        <v>320</v>
      </c>
      <c r="L49" s="60"/>
    </row>
    <row r="50" spans="1:12" x14ac:dyDescent="0.25">
      <c r="A50" s="40" t="s">
        <v>2034</v>
      </c>
      <c r="B50" s="40" t="s">
        <v>2035</v>
      </c>
      <c r="C50" s="41">
        <v>45617</v>
      </c>
      <c r="D50" s="48">
        <v>45617</v>
      </c>
      <c r="E50" s="52">
        <f t="shared" si="0"/>
        <v>1</v>
      </c>
      <c r="F50" s="40">
        <v>28</v>
      </c>
      <c r="G50" s="40" t="s">
        <v>12</v>
      </c>
      <c r="H50" s="40" t="s">
        <v>2036</v>
      </c>
      <c r="I50" s="40" t="s">
        <v>2037</v>
      </c>
      <c r="J50" s="40"/>
      <c r="K50" s="67" t="s">
        <v>13</v>
      </c>
      <c r="L50" s="40"/>
    </row>
    <row r="51" spans="1:12" s="65" customFormat="1" x14ac:dyDescent="0.25">
      <c r="A51" s="60" t="s">
        <v>1918</v>
      </c>
      <c r="B51" s="60" t="s">
        <v>1919</v>
      </c>
      <c r="C51" s="61">
        <v>45617</v>
      </c>
      <c r="D51" s="76">
        <v>45617</v>
      </c>
      <c r="E51" s="63">
        <f t="shared" si="0"/>
        <v>1</v>
      </c>
      <c r="F51" s="60">
        <v>19</v>
      </c>
      <c r="G51" s="60" t="s">
        <v>14</v>
      </c>
      <c r="H51" s="60" t="s">
        <v>1920</v>
      </c>
      <c r="I51" s="77" t="s">
        <v>1921</v>
      </c>
      <c r="J51" s="60"/>
      <c r="K51" s="77" t="s">
        <v>13</v>
      </c>
      <c r="L51" s="60"/>
    </row>
    <row r="52" spans="1:12" x14ac:dyDescent="0.25">
      <c r="A52" s="40" t="s">
        <v>1947</v>
      </c>
      <c r="B52" s="40" t="s">
        <v>711</v>
      </c>
      <c r="C52" s="41">
        <v>45610</v>
      </c>
      <c r="D52" s="41">
        <v>45614</v>
      </c>
      <c r="E52" s="52">
        <f t="shared" si="0"/>
        <v>5</v>
      </c>
      <c r="F52" s="40">
        <v>25</v>
      </c>
      <c r="G52" s="40" t="s">
        <v>14</v>
      </c>
      <c r="H52" s="40" t="s">
        <v>1948</v>
      </c>
      <c r="I52" s="40" t="s">
        <v>1949</v>
      </c>
      <c r="J52" s="40"/>
      <c r="K52" s="40"/>
      <c r="L52" s="40"/>
    </row>
    <row r="53" spans="1:12" x14ac:dyDescent="0.25">
      <c r="A53" s="40" t="s">
        <v>1995</v>
      </c>
      <c r="B53" s="40" t="s">
        <v>1996</v>
      </c>
      <c r="C53" s="41">
        <v>45618</v>
      </c>
      <c r="D53" s="41">
        <v>45629</v>
      </c>
      <c r="E53" s="52">
        <f t="shared" si="0"/>
        <v>12</v>
      </c>
      <c r="F53" s="40">
        <v>25</v>
      </c>
      <c r="G53" s="40" t="s">
        <v>14</v>
      </c>
      <c r="H53" s="40" t="s">
        <v>1997</v>
      </c>
      <c r="I53" s="40" t="s">
        <v>1998</v>
      </c>
      <c r="J53" s="40"/>
      <c r="K53" s="40"/>
      <c r="L53" s="40"/>
    </row>
    <row r="54" spans="1:12" x14ac:dyDescent="0.25">
      <c r="A54" s="40" t="s">
        <v>2084</v>
      </c>
      <c r="B54" s="40" t="s">
        <v>531</v>
      </c>
      <c r="C54" s="41">
        <v>45618</v>
      </c>
      <c r="D54" s="41">
        <v>45630</v>
      </c>
      <c r="E54" s="52">
        <f t="shared" si="0"/>
        <v>13</v>
      </c>
      <c r="F54" s="40">
        <v>42</v>
      </c>
      <c r="G54" s="40" t="s">
        <v>14</v>
      </c>
      <c r="H54" s="40" t="s">
        <v>2085</v>
      </c>
      <c r="I54" s="40" t="s">
        <v>2086</v>
      </c>
      <c r="J54" s="40"/>
      <c r="K54" s="40"/>
      <c r="L54" s="40"/>
    </row>
    <row r="55" spans="1:12" x14ac:dyDescent="0.25">
      <c r="A55" s="40" t="s">
        <v>2014</v>
      </c>
      <c r="B55" s="40" t="s">
        <v>2015</v>
      </c>
      <c r="C55" s="41">
        <v>45618</v>
      </c>
      <c r="D55" s="74">
        <v>45628</v>
      </c>
      <c r="E55" s="52">
        <f t="shared" si="0"/>
        <v>11</v>
      </c>
      <c r="F55" s="40">
        <v>71</v>
      </c>
      <c r="G55" s="40" t="s">
        <v>14</v>
      </c>
      <c r="H55" s="40" t="s">
        <v>2016</v>
      </c>
      <c r="I55" s="40" t="s">
        <v>2017</v>
      </c>
      <c r="J55" s="40"/>
      <c r="K55" s="40"/>
      <c r="L55" s="40"/>
    </row>
    <row r="56" spans="1:12" x14ac:dyDescent="0.25">
      <c r="A56" s="40" t="s">
        <v>2087</v>
      </c>
      <c r="B56" s="40" t="s">
        <v>2088</v>
      </c>
      <c r="C56" s="41">
        <v>45618</v>
      </c>
      <c r="D56" s="74">
        <v>45630</v>
      </c>
      <c r="E56" s="52">
        <f t="shared" si="0"/>
        <v>13</v>
      </c>
      <c r="F56" s="40">
        <v>47</v>
      </c>
      <c r="G56" s="40" t="s">
        <v>12</v>
      </c>
      <c r="H56" s="40" t="s">
        <v>2089</v>
      </c>
      <c r="I56" s="40" t="s">
        <v>2090</v>
      </c>
      <c r="J56" s="40"/>
      <c r="K56" s="40"/>
      <c r="L56" s="40"/>
    </row>
    <row r="57" spans="1:12" s="65" customFormat="1" x14ac:dyDescent="0.25">
      <c r="A57" s="60" t="s">
        <v>1965</v>
      </c>
      <c r="B57" s="60" t="s">
        <v>1966</v>
      </c>
      <c r="C57" s="61">
        <v>45619</v>
      </c>
      <c r="D57" s="61">
        <v>45624</v>
      </c>
      <c r="E57" s="63">
        <f t="shared" si="0"/>
        <v>6</v>
      </c>
      <c r="F57" s="60">
        <v>50</v>
      </c>
      <c r="G57" s="60" t="s">
        <v>14</v>
      </c>
      <c r="H57" s="60" t="s">
        <v>1967</v>
      </c>
      <c r="I57" s="60" t="s">
        <v>1080</v>
      </c>
      <c r="J57" s="60"/>
      <c r="K57" s="60"/>
      <c r="L57" s="60"/>
    </row>
    <row r="58" spans="1:12" x14ac:dyDescent="0.25">
      <c r="A58" s="40" t="s">
        <v>1988</v>
      </c>
      <c r="B58" s="40" t="s">
        <v>1989</v>
      </c>
      <c r="C58" s="41">
        <v>45619</v>
      </c>
      <c r="D58" s="41">
        <v>45625</v>
      </c>
      <c r="E58" s="52">
        <f t="shared" si="0"/>
        <v>7</v>
      </c>
      <c r="F58" s="40">
        <v>53</v>
      </c>
      <c r="G58" s="40" t="s">
        <v>14</v>
      </c>
      <c r="H58" s="40" t="s">
        <v>1990</v>
      </c>
      <c r="I58" s="40" t="s">
        <v>1201</v>
      </c>
      <c r="J58" s="40"/>
      <c r="K58" s="40"/>
      <c r="L58" s="40"/>
    </row>
    <row r="59" spans="1:12" x14ac:dyDescent="0.25">
      <c r="A59" s="40" t="s">
        <v>2031</v>
      </c>
      <c r="B59" s="40" t="s">
        <v>2032</v>
      </c>
      <c r="C59" s="41">
        <v>45621</v>
      </c>
      <c r="D59" s="48">
        <v>45622</v>
      </c>
      <c r="E59" s="52">
        <f t="shared" si="0"/>
        <v>2</v>
      </c>
      <c r="F59" s="40">
        <v>55</v>
      </c>
      <c r="G59" s="40" t="s">
        <v>14</v>
      </c>
      <c r="H59" s="40" t="s">
        <v>2033</v>
      </c>
      <c r="I59" s="40" t="s">
        <v>1764</v>
      </c>
      <c r="J59" s="40"/>
      <c r="K59" s="67" t="s">
        <v>13</v>
      </c>
      <c r="L59" s="40"/>
    </row>
    <row r="60" spans="1:12" s="65" customFormat="1" x14ac:dyDescent="0.25">
      <c r="A60" s="60" t="s">
        <v>1991</v>
      </c>
      <c r="B60" s="60" t="s">
        <v>1992</v>
      </c>
      <c r="C60" s="61">
        <v>45622</v>
      </c>
      <c r="D60" s="61">
        <v>45625</v>
      </c>
      <c r="E60" s="63">
        <f t="shared" si="0"/>
        <v>4</v>
      </c>
      <c r="F60" s="60">
        <v>58</v>
      </c>
      <c r="G60" s="60" t="s">
        <v>14</v>
      </c>
      <c r="H60" s="60" t="s">
        <v>1993</v>
      </c>
      <c r="I60" s="60" t="s">
        <v>1994</v>
      </c>
      <c r="J60" s="60"/>
      <c r="K60" s="60"/>
      <c r="L60" s="60"/>
    </row>
    <row r="61" spans="1:12" x14ac:dyDescent="0.25">
      <c r="A61" s="40" t="s">
        <v>2091</v>
      </c>
      <c r="B61" s="40" t="s">
        <v>2092</v>
      </c>
      <c r="C61" s="41">
        <v>45622</v>
      </c>
      <c r="D61" s="41"/>
      <c r="E61" s="52">
        <f t="shared" si="0"/>
        <v>-45621</v>
      </c>
      <c r="F61" s="40">
        <v>37</v>
      </c>
      <c r="G61" s="40" t="s">
        <v>14</v>
      </c>
      <c r="H61" s="40" t="s">
        <v>2093</v>
      </c>
      <c r="I61" s="40" t="s">
        <v>2094</v>
      </c>
      <c r="J61" s="40"/>
      <c r="K61" s="40"/>
      <c r="L61" s="40"/>
    </row>
    <row r="62" spans="1:12" x14ac:dyDescent="0.25">
      <c r="A62" s="40" t="s">
        <v>2095</v>
      </c>
      <c r="B62" s="40" t="s">
        <v>2096</v>
      </c>
      <c r="C62" s="41">
        <v>45622</v>
      </c>
      <c r="D62" s="41">
        <v>45630</v>
      </c>
      <c r="E62" s="52">
        <f t="shared" si="0"/>
        <v>9</v>
      </c>
      <c r="F62" s="40">
        <v>79</v>
      </c>
      <c r="G62" s="40" t="s">
        <v>12</v>
      </c>
      <c r="H62" s="40" t="s">
        <v>2097</v>
      </c>
      <c r="I62" s="40" t="s">
        <v>2142</v>
      </c>
      <c r="J62" s="40"/>
      <c r="K62" s="40"/>
      <c r="L62" s="40"/>
    </row>
    <row r="63" spans="1:12" s="65" customFormat="1" x14ac:dyDescent="0.25">
      <c r="A63" s="60" t="s">
        <v>1999</v>
      </c>
      <c r="B63" s="60" t="s">
        <v>2000</v>
      </c>
      <c r="C63" s="61">
        <v>45622</v>
      </c>
      <c r="D63" s="76">
        <v>45625</v>
      </c>
      <c r="E63" s="63">
        <f t="shared" si="0"/>
        <v>4</v>
      </c>
      <c r="F63" s="60">
        <v>45</v>
      </c>
      <c r="G63" s="60" t="s">
        <v>12</v>
      </c>
      <c r="H63" s="60" t="s">
        <v>2001</v>
      </c>
      <c r="I63" s="77" t="s">
        <v>2002</v>
      </c>
      <c r="J63" s="60"/>
      <c r="K63" s="77" t="s">
        <v>13</v>
      </c>
      <c r="L63" s="60"/>
    </row>
    <row r="64" spans="1:12" x14ac:dyDescent="0.25">
      <c r="A64" s="40" t="s">
        <v>2098</v>
      </c>
      <c r="B64" s="40" t="s">
        <v>2099</v>
      </c>
      <c r="C64" s="41">
        <v>45623</v>
      </c>
      <c r="D64" s="41">
        <v>45632</v>
      </c>
      <c r="E64" s="52">
        <f t="shared" si="0"/>
        <v>10</v>
      </c>
      <c r="F64" s="40">
        <v>62</v>
      </c>
      <c r="G64" s="40" t="s">
        <v>14</v>
      </c>
      <c r="H64" s="40" t="s">
        <v>2100</v>
      </c>
      <c r="I64" s="40" t="s">
        <v>2129</v>
      </c>
      <c r="J64" s="40"/>
      <c r="K64" s="40"/>
      <c r="L64" s="40"/>
    </row>
    <row r="65" spans="1:12" x14ac:dyDescent="0.25">
      <c r="A65" s="40" t="s">
        <v>2003</v>
      </c>
      <c r="B65" s="40" t="s">
        <v>2004</v>
      </c>
      <c r="C65" s="41">
        <v>45623</v>
      </c>
      <c r="D65" s="41">
        <v>45628</v>
      </c>
      <c r="E65" s="52">
        <f t="shared" si="0"/>
        <v>6</v>
      </c>
      <c r="F65" s="40">
        <v>15</v>
      </c>
      <c r="G65" s="40" t="s">
        <v>14</v>
      </c>
      <c r="H65" s="40" t="s">
        <v>2005</v>
      </c>
      <c r="I65" s="40" t="s">
        <v>1845</v>
      </c>
      <c r="J65" s="40"/>
      <c r="K65" s="40"/>
      <c r="L65" s="40"/>
    </row>
    <row r="66" spans="1:12" x14ac:dyDescent="0.25">
      <c r="A66" s="40" t="s">
        <v>2022</v>
      </c>
      <c r="B66" s="40" t="s">
        <v>2023</v>
      </c>
      <c r="C66" s="41">
        <v>45623</v>
      </c>
      <c r="D66" s="48">
        <v>45625</v>
      </c>
      <c r="E66" s="52">
        <f t="shared" ref="E66:E81" si="1">D66-C66+1</f>
        <v>3</v>
      </c>
      <c r="F66" s="40">
        <v>31</v>
      </c>
      <c r="G66" s="40" t="s">
        <v>12</v>
      </c>
      <c r="H66" s="40" t="s">
        <v>2024</v>
      </c>
      <c r="I66" s="40" t="s">
        <v>2025</v>
      </c>
      <c r="J66" s="40"/>
      <c r="K66" s="67" t="s">
        <v>13</v>
      </c>
      <c r="L66" s="40"/>
    </row>
    <row r="67" spans="1:12" s="65" customFormat="1" x14ac:dyDescent="0.25">
      <c r="A67" s="60" t="s">
        <v>2104</v>
      </c>
      <c r="B67" s="60" t="s">
        <v>2105</v>
      </c>
      <c r="C67" s="61">
        <v>45624</v>
      </c>
      <c r="D67" s="61">
        <v>45630</v>
      </c>
      <c r="E67" s="63">
        <f t="shared" si="1"/>
        <v>7</v>
      </c>
      <c r="F67" s="60">
        <v>37</v>
      </c>
      <c r="G67" s="60" t="s">
        <v>12</v>
      </c>
      <c r="H67" s="60" t="s">
        <v>2182</v>
      </c>
      <c r="I67" s="77" t="s">
        <v>2183</v>
      </c>
      <c r="J67" s="60"/>
      <c r="K67" s="60"/>
      <c r="L67" s="60"/>
    </row>
    <row r="68" spans="1:12" x14ac:dyDescent="0.25">
      <c r="A68" s="40" t="s">
        <v>2018</v>
      </c>
      <c r="B68" s="40" t="s">
        <v>2019</v>
      </c>
      <c r="C68" s="41">
        <v>45625</v>
      </c>
      <c r="D68" s="48">
        <v>45629</v>
      </c>
      <c r="E68" s="52">
        <f t="shared" si="1"/>
        <v>5</v>
      </c>
      <c r="F68" s="40">
        <v>34</v>
      </c>
      <c r="G68" s="40" t="s">
        <v>12</v>
      </c>
      <c r="H68" s="40" t="s">
        <v>2020</v>
      </c>
      <c r="I68" s="40" t="s">
        <v>2021</v>
      </c>
      <c r="J68" s="40"/>
      <c r="K68" s="67" t="s">
        <v>13</v>
      </c>
      <c r="L68" s="40"/>
    </row>
    <row r="69" spans="1:12" s="65" customFormat="1" x14ac:dyDescent="0.25">
      <c r="A69" s="60" t="s">
        <v>2064</v>
      </c>
      <c r="B69" s="60" t="s">
        <v>2065</v>
      </c>
      <c r="C69" s="61">
        <v>45604</v>
      </c>
      <c r="D69" s="76"/>
      <c r="E69" s="63">
        <f t="shared" si="1"/>
        <v>-45603</v>
      </c>
      <c r="F69" s="60">
        <v>17</v>
      </c>
      <c r="G69" s="60" t="s">
        <v>12</v>
      </c>
      <c r="H69" s="60" t="s">
        <v>2066</v>
      </c>
      <c r="I69" s="77" t="s">
        <v>2103</v>
      </c>
      <c r="J69" s="60" t="s">
        <v>2067</v>
      </c>
      <c r="K69" s="60"/>
      <c r="L69" s="60"/>
    </row>
    <row r="70" spans="1:12" x14ac:dyDescent="0.25">
      <c r="A70" s="40" t="s">
        <v>1947</v>
      </c>
      <c r="B70" s="40" t="s">
        <v>711</v>
      </c>
      <c r="C70" s="41">
        <v>45610</v>
      </c>
      <c r="D70" s="41"/>
      <c r="E70" s="52">
        <f t="shared" si="1"/>
        <v>-45609</v>
      </c>
      <c r="F70" s="40">
        <v>25</v>
      </c>
      <c r="G70" s="40" t="s">
        <v>14</v>
      </c>
      <c r="H70" s="40" t="s">
        <v>2079</v>
      </c>
      <c r="I70" s="40" t="s">
        <v>2080</v>
      </c>
      <c r="J70" s="40"/>
      <c r="K70" s="40"/>
      <c r="L70" s="40"/>
    </row>
    <row r="71" spans="1:12" x14ac:dyDescent="0.25">
      <c r="A71" s="40" t="s">
        <v>2101</v>
      </c>
      <c r="B71" s="40" t="s">
        <v>2102</v>
      </c>
      <c r="C71" s="41">
        <v>45623</v>
      </c>
      <c r="D71" s="74">
        <v>45635</v>
      </c>
      <c r="E71" s="52">
        <f t="shared" si="1"/>
        <v>13</v>
      </c>
      <c r="F71" s="40">
        <v>83</v>
      </c>
      <c r="G71" s="40" t="s">
        <v>14</v>
      </c>
      <c r="H71" s="40" t="s">
        <v>2152</v>
      </c>
      <c r="I71" s="40" t="s">
        <v>2153</v>
      </c>
      <c r="J71" s="40"/>
      <c r="K71" s="40"/>
      <c r="L71" s="40"/>
    </row>
    <row r="72" spans="1:12" x14ac:dyDescent="0.25">
      <c r="A72" s="40" t="s">
        <v>2106</v>
      </c>
      <c r="B72" s="40" t="s">
        <v>2107</v>
      </c>
      <c r="C72" s="41">
        <v>45624</v>
      </c>
      <c r="D72" s="41">
        <v>45639</v>
      </c>
      <c r="E72" s="52">
        <f t="shared" si="1"/>
        <v>16</v>
      </c>
      <c r="F72" s="40">
        <v>78</v>
      </c>
      <c r="G72" s="40" t="s">
        <v>14</v>
      </c>
      <c r="H72" s="40" t="s">
        <v>2108</v>
      </c>
      <c r="I72" s="40" t="s">
        <v>1201</v>
      </c>
      <c r="J72" s="40"/>
      <c r="K72" s="40"/>
      <c r="L72" s="40"/>
    </row>
    <row r="73" spans="1:12" s="65" customFormat="1" x14ac:dyDescent="0.25">
      <c r="A73" s="40" t="s">
        <v>2109</v>
      </c>
      <c r="B73" s="40" t="s">
        <v>2110</v>
      </c>
      <c r="C73" s="41">
        <v>45625</v>
      </c>
      <c r="D73" s="41">
        <v>45632</v>
      </c>
      <c r="E73" s="52">
        <f t="shared" si="1"/>
        <v>8</v>
      </c>
      <c r="F73" s="40">
        <v>35</v>
      </c>
      <c r="G73" s="40" t="s">
        <v>14</v>
      </c>
      <c r="H73" s="40" t="s">
        <v>2111</v>
      </c>
      <c r="I73" s="75" t="s">
        <v>2125</v>
      </c>
      <c r="J73" s="40"/>
      <c r="K73" s="40"/>
      <c r="L73" s="40"/>
    </row>
    <row r="74" spans="1:12" x14ac:dyDescent="0.25">
      <c r="A74" s="40" t="s">
        <v>2112</v>
      </c>
      <c r="B74" s="40" t="s">
        <v>2113</v>
      </c>
      <c r="C74" s="41">
        <v>45626</v>
      </c>
      <c r="D74" s="74">
        <v>45632</v>
      </c>
      <c r="E74" s="52">
        <f t="shared" si="1"/>
        <v>7</v>
      </c>
      <c r="F74" s="40"/>
      <c r="G74" s="40" t="s">
        <v>14</v>
      </c>
      <c r="H74" s="40" t="s">
        <v>2114</v>
      </c>
      <c r="I74" s="40" t="s">
        <v>2129</v>
      </c>
      <c r="J74" s="40"/>
      <c r="K74" s="40"/>
      <c r="L74" s="40"/>
    </row>
    <row r="75" spans="1:12" s="65" customFormat="1" x14ac:dyDescent="0.25">
      <c r="A75" s="60" t="s">
        <v>2115</v>
      </c>
      <c r="B75" s="60" t="s">
        <v>2116</v>
      </c>
      <c r="C75" s="61">
        <v>45626</v>
      </c>
      <c r="D75" s="61">
        <v>45631</v>
      </c>
      <c r="E75" s="63">
        <f t="shared" si="1"/>
        <v>6</v>
      </c>
      <c r="F75" s="60">
        <v>26</v>
      </c>
      <c r="G75" s="60" t="s">
        <v>12</v>
      </c>
      <c r="H75" s="60" t="s">
        <v>2117</v>
      </c>
      <c r="I75" s="107" t="s">
        <v>2170</v>
      </c>
      <c r="J75" s="60"/>
      <c r="K75" s="60"/>
      <c r="L75" s="60"/>
    </row>
    <row r="76" spans="1:12" x14ac:dyDescent="0.25">
      <c r="A76" s="40" t="s">
        <v>2184</v>
      </c>
      <c r="B76" s="40" t="s">
        <v>2185</v>
      </c>
      <c r="C76" s="41">
        <v>45618</v>
      </c>
      <c r="D76" s="41">
        <v>45643</v>
      </c>
      <c r="E76" s="52">
        <f t="shared" si="1"/>
        <v>26</v>
      </c>
      <c r="F76" s="40">
        <v>81</v>
      </c>
      <c r="G76" s="40" t="s">
        <v>12</v>
      </c>
      <c r="H76" s="40" t="s">
        <v>2186</v>
      </c>
      <c r="I76" s="40" t="s">
        <v>2187</v>
      </c>
      <c r="J76" s="40"/>
      <c r="K76" s="40"/>
      <c r="L76" s="40"/>
    </row>
    <row r="77" spans="1:12" x14ac:dyDescent="0.25">
      <c r="A77" s="40"/>
      <c r="B77" s="40"/>
      <c r="C77" s="41"/>
      <c r="D77" s="41"/>
      <c r="E77" s="52">
        <f t="shared" si="1"/>
        <v>1</v>
      </c>
      <c r="F77" s="40"/>
      <c r="G77" s="40"/>
      <c r="H77" s="40"/>
      <c r="I77" s="40" t="s">
        <v>1845</v>
      </c>
      <c r="J77" s="40"/>
      <c r="K77" s="84"/>
      <c r="L77" s="40"/>
    </row>
    <row r="78" spans="1:12" x14ac:dyDescent="0.25">
      <c r="A78" s="40"/>
      <c r="B78" s="40"/>
      <c r="C78" s="41"/>
      <c r="D78" s="41"/>
      <c r="E78" s="52">
        <f t="shared" si="1"/>
        <v>1</v>
      </c>
      <c r="F78" s="40"/>
      <c r="G78" s="40"/>
      <c r="H78" s="40"/>
      <c r="I78" s="40" t="s">
        <v>1845</v>
      </c>
      <c r="J78" s="40"/>
      <c r="K78" s="40"/>
      <c r="L78" s="40"/>
    </row>
    <row r="79" spans="1:12" x14ac:dyDescent="0.25">
      <c r="A79" s="40"/>
      <c r="B79" s="40"/>
      <c r="C79" s="41"/>
      <c r="D79" s="41"/>
      <c r="E79" s="52">
        <f t="shared" si="1"/>
        <v>1</v>
      </c>
      <c r="F79" s="40"/>
      <c r="G79" s="40"/>
      <c r="H79" s="40"/>
      <c r="I79" s="40" t="s">
        <v>1845</v>
      </c>
      <c r="J79" s="40"/>
      <c r="K79" s="40"/>
      <c r="L79" s="40"/>
    </row>
    <row r="80" spans="1:12" x14ac:dyDescent="0.25">
      <c r="A80" s="40"/>
      <c r="B80" s="40"/>
      <c r="C80" s="41"/>
      <c r="D80" s="41"/>
      <c r="E80" s="52">
        <f t="shared" si="1"/>
        <v>1</v>
      </c>
      <c r="F80" s="40"/>
      <c r="G80" s="40"/>
      <c r="H80" s="40"/>
      <c r="I80" s="40" t="s">
        <v>1845</v>
      </c>
      <c r="J80" s="40"/>
      <c r="K80" s="40"/>
      <c r="L80" s="40"/>
    </row>
    <row r="81" spans="1:12" x14ac:dyDescent="0.25">
      <c r="A81" s="40"/>
      <c r="B81" s="40"/>
      <c r="C81" s="41"/>
      <c r="D81" s="41"/>
      <c r="E81" s="52">
        <f t="shared" si="1"/>
        <v>1</v>
      </c>
      <c r="F81" s="40"/>
      <c r="G81" s="40"/>
      <c r="H81" s="40"/>
      <c r="I81" s="40" t="s">
        <v>1845</v>
      </c>
      <c r="J81" s="40"/>
      <c r="K81" s="40"/>
      <c r="L81" s="40"/>
    </row>
    <row r="82" spans="1:12" s="19" customFormat="1" x14ac:dyDescent="0.25">
      <c r="A82" s="40"/>
      <c r="B82" s="40"/>
      <c r="C82" s="41"/>
      <c r="D82" s="41"/>
      <c r="E82" s="40"/>
      <c r="F82" s="40"/>
      <c r="G82" s="40"/>
      <c r="H82" s="40"/>
      <c r="I82" s="40" t="s">
        <v>1845</v>
      </c>
      <c r="J82" s="40"/>
      <c r="K82" s="40"/>
      <c r="L82" s="40"/>
    </row>
    <row r="83" spans="1:12" x14ac:dyDescent="0.25">
      <c r="A83" s="40"/>
      <c r="B83" s="40"/>
      <c r="C83" s="41"/>
      <c r="D83" s="41"/>
      <c r="E83" s="40"/>
      <c r="F83" s="40"/>
      <c r="G83" s="40"/>
      <c r="H83" s="40"/>
      <c r="I83" s="40" t="s">
        <v>1845</v>
      </c>
      <c r="J83" s="40"/>
      <c r="K83" s="40"/>
      <c r="L83" s="40"/>
    </row>
    <row r="84" spans="1:12" x14ac:dyDescent="0.25">
      <c r="A84" s="40"/>
      <c r="B84" s="40"/>
      <c r="C84" s="41"/>
      <c r="D84" s="48"/>
      <c r="E84" s="40"/>
      <c r="F84" s="40"/>
      <c r="G84" s="40"/>
      <c r="H84" s="40"/>
      <c r="I84" s="40" t="s">
        <v>1845</v>
      </c>
      <c r="J84" s="40"/>
      <c r="K84" s="40"/>
      <c r="L84" s="40"/>
    </row>
    <row r="85" spans="1:12" x14ac:dyDescent="0.25">
      <c r="A85" s="40"/>
      <c r="B85" s="40"/>
      <c r="C85" s="41"/>
      <c r="D85" s="48"/>
      <c r="E85" s="40"/>
      <c r="F85" s="40"/>
      <c r="G85" s="40"/>
      <c r="H85" s="40"/>
      <c r="I85" s="40" t="s">
        <v>1845</v>
      </c>
      <c r="J85" s="40"/>
      <c r="K85" s="40"/>
      <c r="L85" s="40"/>
    </row>
    <row r="86" spans="1:12" x14ac:dyDescent="0.25">
      <c r="A86" s="40"/>
      <c r="B86" s="40"/>
      <c r="C86" s="41"/>
      <c r="D86" s="41"/>
      <c r="E86" s="40"/>
      <c r="F86" s="40"/>
      <c r="G86" s="40"/>
      <c r="H86" s="40"/>
      <c r="I86" s="40" t="s">
        <v>1845</v>
      </c>
      <c r="J86" s="40"/>
      <c r="K86" s="40"/>
      <c r="L86" s="40"/>
    </row>
    <row r="87" spans="1:12" x14ac:dyDescent="0.25">
      <c r="A87" s="40"/>
      <c r="B87" s="40"/>
      <c r="C87" s="41"/>
      <c r="D87" s="41"/>
      <c r="E87" s="40"/>
      <c r="F87" s="40"/>
      <c r="G87" s="40"/>
      <c r="H87" s="40"/>
      <c r="I87" s="40" t="s">
        <v>1845</v>
      </c>
      <c r="J87" s="40"/>
      <c r="K87" s="40"/>
      <c r="L87" s="40"/>
    </row>
    <row r="88" spans="1:12" s="19" customFormat="1" x14ac:dyDescent="0.25">
      <c r="A88" s="40"/>
      <c r="B88" s="40"/>
      <c r="C88" s="41"/>
      <c r="D88" s="41"/>
      <c r="E88" s="40"/>
      <c r="F88" s="40"/>
      <c r="G88" s="40"/>
      <c r="H88" s="40"/>
      <c r="I88" s="40" t="s">
        <v>1845</v>
      </c>
      <c r="J88" s="40"/>
      <c r="K88" s="40"/>
      <c r="L88" s="40"/>
    </row>
    <row r="89" spans="1:12" x14ac:dyDescent="0.25">
      <c r="A89" s="40"/>
      <c r="B89" s="40"/>
      <c r="C89" s="41"/>
      <c r="D89" s="41"/>
      <c r="E89" s="40"/>
      <c r="F89" s="40"/>
      <c r="G89" s="40"/>
      <c r="H89" s="40"/>
      <c r="I89" s="40" t="s">
        <v>1845</v>
      </c>
      <c r="J89" s="40"/>
      <c r="K89" s="40"/>
      <c r="L89" s="40"/>
    </row>
    <row r="90" spans="1:12" x14ac:dyDescent="0.25">
      <c r="A90" s="40"/>
      <c r="B90" s="40"/>
      <c r="C90" s="41"/>
      <c r="D90" s="48"/>
      <c r="E90" s="40"/>
      <c r="F90" s="40"/>
      <c r="G90" s="40"/>
      <c r="H90" s="40"/>
      <c r="I90" s="40" t="s">
        <v>1845</v>
      </c>
      <c r="J90" s="40"/>
      <c r="K90" s="40"/>
      <c r="L90" s="40"/>
    </row>
    <row r="91" spans="1:12" x14ac:dyDescent="0.25">
      <c r="A91" s="40"/>
      <c r="B91" s="40"/>
      <c r="C91" s="41"/>
      <c r="D91" s="48"/>
      <c r="E91" s="40"/>
      <c r="F91" s="40"/>
      <c r="G91" s="40"/>
      <c r="H91" s="40"/>
      <c r="I91" s="40" t="s">
        <v>1845</v>
      </c>
      <c r="J91" s="40"/>
      <c r="K91" s="40"/>
      <c r="L91" s="40"/>
    </row>
    <row r="92" spans="1:12" x14ac:dyDescent="0.25">
      <c r="A92" s="40"/>
      <c r="B92" s="40"/>
      <c r="C92" s="41"/>
      <c r="D92" s="41"/>
      <c r="E92" s="40"/>
      <c r="F92" s="40"/>
      <c r="G92" s="40"/>
      <c r="H92" s="40"/>
      <c r="I92" s="40" t="s">
        <v>1845</v>
      </c>
      <c r="J92" s="40"/>
      <c r="K92" s="40"/>
      <c r="L92" s="40"/>
    </row>
    <row r="93" spans="1:12" x14ac:dyDescent="0.25">
      <c r="A93" s="40"/>
      <c r="B93" s="40"/>
      <c r="C93" s="41"/>
      <c r="D93" s="41"/>
      <c r="E93" s="40"/>
      <c r="F93" s="40"/>
      <c r="G93" s="40"/>
      <c r="H93" s="40"/>
      <c r="I93" s="40" t="s">
        <v>1845</v>
      </c>
      <c r="J93" s="40"/>
      <c r="K93" s="40"/>
      <c r="L93" s="40"/>
    </row>
    <row r="94" spans="1:12" x14ac:dyDescent="0.25">
      <c r="A94" s="40"/>
      <c r="B94" s="40"/>
      <c r="C94" s="41"/>
      <c r="D94" s="41"/>
      <c r="E94" s="40"/>
      <c r="F94" s="40"/>
      <c r="G94" s="40"/>
      <c r="H94" s="40"/>
      <c r="I94" s="40" t="s">
        <v>1845</v>
      </c>
      <c r="J94" s="40"/>
      <c r="K94" s="40"/>
      <c r="L94" s="40"/>
    </row>
    <row r="95" spans="1:12" x14ac:dyDescent="0.25">
      <c r="A95" s="40"/>
      <c r="B95" s="40"/>
      <c r="C95" s="41"/>
      <c r="D95" s="41"/>
      <c r="E95" s="40"/>
      <c r="F95" s="40"/>
      <c r="G95" s="40"/>
      <c r="H95" s="40"/>
      <c r="I95" s="40" t="s">
        <v>1845</v>
      </c>
      <c r="J95" s="40"/>
      <c r="K95" s="40"/>
      <c r="L95" s="40"/>
    </row>
    <row r="96" spans="1:12" x14ac:dyDescent="0.25">
      <c r="A96" s="40"/>
      <c r="B96" s="40"/>
      <c r="C96" s="41"/>
      <c r="D96" s="41"/>
      <c r="E96" s="40"/>
      <c r="F96" s="40"/>
      <c r="G96" s="40"/>
      <c r="H96" s="40"/>
      <c r="I96" s="40" t="s">
        <v>1845</v>
      </c>
      <c r="J96" s="40"/>
      <c r="K96" s="40"/>
      <c r="L96" s="40"/>
    </row>
    <row r="97" spans="1:12" x14ac:dyDescent="0.25">
      <c r="A97" s="40"/>
      <c r="B97" s="40"/>
      <c r="C97" s="41"/>
      <c r="D97" s="41"/>
      <c r="E97" s="40"/>
      <c r="F97" s="40"/>
      <c r="G97" s="40"/>
      <c r="H97" s="40"/>
      <c r="I97" s="40" t="s">
        <v>1845</v>
      </c>
      <c r="J97" s="40"/>
      <c r="K97" s="40"/>
      <c r="L97" s="40"/>
    </row>
    <row r="98" spans="1:12" x14ac:dyDescent="0.25">
      <c r="A98" s="40"/>
      <c r="B98" s="40"/>
      <c r="C98" s="41"/>
      <c r="D98" s="41"/>
      <c r="E98" s="40"/>
      <c r="F98" s="40"/>
      <c r="G98" s="40"/>
      <c r="H98" s="40"/>
      <c r="I98" s="40" t="s">
        <v>1845</v>
      </c>
      <c r="J98" s="40"/>
      <c r="K98" s="40"/>
      <c r="L98" s="40"/>
    </row>
    <row r="99" spans="1:12" x14ac:dyDescent="0.25">
      <c r="A99" s="40"/>
      <c r="B99" s="40"/>
      <c r="C99" s="41"/>
      <c r="D99" s="41"/>
      <c r="E99" s="40"/>
      <c r="F99" s="40"/>
      <c r="G99" s="40"/>
      <c r="H99" s="40"/>
      <c r="I99" s="40" t="s">
        <v>1845</v>
      </c>
      <c r="J99" s="40"/>
      <c r="K99" s="40"/>
      <c r="L99" s="40"/>
    </row>
    <row r="100" spans="1:12" s="19" customFormat="1" x14ac:dyDescent="0.25">
      <c r="A100" s="40"/>
      <c r="B100" s="40"/>
      <c r="C100" s="41"/>
      <c r="D100" s="41"/>
      <c r="E100" s="40"/>
      <c r="F100" s="40"/>
      <c r="G100" s="40"/>
      <c r="H100" s="40"/>
      <c r="I100" s="40" t="s">
        <v>1845</v>
      </c>
      <c r="J100" s="40"/>
      <c r="K100" s="40"/>
      <c r="L100" s="40"/>
    </row>
    <row r="101" spans="1:12" x14ac:dyDescent="0.25">
      <c r="A101" s="40"/>
      <c r="B101" s="40"/>
      <c r="C101" s="41"/>
      <c r="D101" s="41"/>
      <c r="E101" s="40"/>
      <c r="F101" s="40"/>
      <c r="G101" s="40"/>
      <c r="H101" s="40"/>
      <c r="I101" s="40" t="s">
        <v>1845</v>
      </c>
      <c r="J101" s="40"/>
      <c r="K101" s="40"/>
      <c r="L101" s="40"/>
    </row>
    <row r="102" spans="1:12" x14ac:dyDescent="0.25">
      <c r="A102" s="40"/>
      <c r="B102" s="40"/>
      <c r="C102" s="41"/>
      <c r="D102" s="41"/>
      <c r="E102" s="40"/>
      <c r="F102" s="40"/>
      <c r="G102" s="40"/>
      <c r="H102" s="40"/>
      <c r="I102" s="40" t="s">
        <v>1845</v>
      </c>
      <c r="J102" s="40"/>
      <c r="K102" s="40"/>
      <c r="L102" s="40"/>
    </row>
    <row r="103" spans="1:12" x14ac:dyDescent="0.25">
      <c r="A103" s="40"/>
      <c r="B103" s="40"/>
      <c r="C103" s="41"/>
      <c r="D103" s="48"/>
      <c r="E103" s="40"/>
      <c r="F103" s="40"/>
      <c r="G103" s="40"/>
      <c r="H103" s="40"/>
      <c r="I103" s="40" t="s">
        <v>1845</v>
      </c>
      <c r="J103" s="40"/>
      <c r="K103" s="40"/>
      <c r="L103" s="40"/>
    </row>
    <row r="104" spans="1:12" x14ac:dyDescent="0.25">
      <c r="A104" s="40"/>
      <c r="B104" s="40"/>
      <c r="C104" s="41"/>
      <c r="D104" s="41"/>
      <c r="E104" s="40"/>
      <c r="F104" s="40"/>
      <c r="G104" s="40"/>
      <c r="H104" s="40"/>
      <c r="I104" s="40" t="s">
        <v>1845</v>
      </c>
      <c r="J104" s="40"/>
      <c r="K104" s="40"/>
      <c r="L104" s="40"/>
    </row>
    <row r="105" spans="1:12" x14ac:dyDescent="0.25">
      <c r="A105" s="40"/>
      <c r="B105" s="40"/>
      <c r="C105" s="41"/>
      <c r="D105" s="41"/>
      <c r="E105" s="40"/>
      <c r="F105" s="40"/>
      <c r="G105" s="40"/>
      <c r="H105" s="40"/>
      <c r="I105" s="40" t="s">
        <v>1845</v>
      </c>
      <c r="J105" s="40"/>
      <c r="K105" s="40"/>
      <c r="L105" s="40"/>
    </row>
    <row r="106" spans="1:12" x14ac:dyDescent="0.25">
      <c r="A106" s="40"/>
      <c r="B106" s="40"/>
      <c r="C106" s="41"/>
      <c r="D106" s="41"/>
      <c r="E106" s="40"/>
      <c r="F106" s="40"/>
      <c r="G106" s="40"/>
      <c r="H106" s="40"/>
      <c r="I106" s="40" t="s">
        <v>1845</v>
      </c>
      <c r="J106" s="40"/>
      <c r="K106" s="40"/>
      <c r="L106" s="40"/>
    </row>
    <row r="107" spans="1:12" s="19" customFormat="1" x14ac:dyDescent="0.25">
      <c r="A107" s="40"/>
      <c r="B107" s="40"/>
      <c r="C107" s="41"/>
      <c r="D107" s="41"/>
      <c r="E107" s="40"/>
      <c r="F107" s="40"/>
      <c r="G107" s="40"/>
      <c r="H107" s="40"/>
      <c r="I107" s="40" t="s">
        <v>1845</v>
      </c>
      <c r="J107" s="40"/>
      <c r="K107" s="40"/>
      <c r="L107" s="40"/>
    </row>
    <row r="108" spans="1:12" s="19" customFormat="1" x14ac:dyDescent="0.25">
      <c r="A108" s="40"/>
      <c r="B108" s="40"/>
      <c r="C108" s="41"/>
      <c r="D108" s="41"/>
      <c r="E108" s="40"/>
      <c r="F108" s="40"/>
      <c r="G108" s="40"/>
      <c r="H108" s="40"/>
      <c r="I108" s="40" t="s">
        <v>1845</v>
      </c>
      <c r="J108" s="40"/>
      <c r="K108" s="40"/>
      <c r="L108" s="40"/>
    </row>
    <row r="109" spans="1:12" x14ac:dyDescent="0.25">
      <c r="A109" s="40"/>
      <c r="B109" s="40"/>
      <c r="C109" s="41"/>
      <c r="D109" s="41"/>
      <c r="E109" s="40"/>
      <c r="F109" s="40"/>
      <c r="G109" s="40"/>
      <c r="H109" s="40"/>
      <c r="I109" s="40" t="s">
        <v>1845</v>
      </c>
      <c r="J109" s="40"/>
      <c r="K109" s="40"/>
      <c r="L109" s="40"/>
    </row>
    <row r="110" spans="1:12" x14ac:dyDescent="0.25">
      <c r="A110" s="40"/>
      <c r="B110" s="40"/>
      <c r="C110" s="41"/>
      <c r="D110" s="41"/>
      <c r="E110" s="40"/>
      <c r="F110" s="40"/>
      <c r="G110" s="40"/>
      <c r="H110" s="40"/>
      <c r="I110" s="40"/>
      <c r="J110" s="40"/>
      <c r="K110" s="40"/>
      <c r="L110" s="40"/>
    </row>
    <row r="111" spans="1:12" x14ac:dyDescent="0.25">
      <c r="A111" s="40"/>
      <c r="B111" s="40"/>
      <c r="C111" s="41"/>
      <c r="D111" s="41"/>
      <c r="E111" s="40"/>
      <c r="F111" s="40"/>
      <c r="G111" s="40"/>
      <c r="H111" s="40"/>
      <c r="I111" s="40"/>
      <c r="J111" s="40"/>
      <c r="K111" s="40"/>
      <c r="L111" s="40"/>
    </row>
    <row r="112" spans="1:12" x14ac:dyDescent="0.25">
      <c r="A112" s="40"/>
      <c r="B112" s="40"/>
      <c r="C112" s="41"/>
      <c r="D112" s="41"/>
      <c r="E112" s="40"/>
      <c r="F112" s="40"/>
      <c r="G112" s="40"/>
      <c r="H112" s="40"/>
      <c r="I112" s="40"/>
      <c r="J112" s="71"/>
      <c r="K112" s="40"/>
      <c r="L112" s="40"/>
    </row>
    <row r="113" spans="1:12" x14ac:dyDescent="0.25">
      <c r="A113" s="40"/>
      <c r="B113" s="40"/>
      <c r="C113" s="41"/>
      <c r="D113" s="48"/>
      <c r="E113" s="40"/>
      <c r="F113" s="40"/>
      <c r="G113" s="40"/>
      <c r="H113" s="40"/>
      <c r="I113" s="40"/>
      <c r="J113" s="72"/>
      <c r="K113" s="40"/>
      <c r="L113" s="40"/>
    </row>
    <row r="114" spans="1:12" x14ac:dyDescent="0.25">
      <c r="A114" s="40"/>
      <c r="B114" s="40"/>
      <c r="C114" s="41"/>
      <c r="D114" s="41"/>
      <c r="E114" s="40"/>
      <c r="F114" s="40"/>
      <c r="G114" s="40"/>
      <c r="H114" s="40"/>
      <c r="I114" s="40"/>
      <c r="J114" s="40"/>
      <c r="K114" s="40"/>
      <c r="L114" s="40"/>
    </row>
    <row r="115" spans="1:12" x14ac:dyDescent="0.25">
      <c r="A115" s="40"/>
      <c r="B115" s="40"/>
      <c r="C115" s="41"/>
      <c r="D115" s="41"/>
      <c r="E115" s="40"/>
      <c r="F115" s="40"/>
      <c r="G115" s="40"/>
      <c r="H115" s="40"/>
      <c r="I115" s="40"/>
      <c r="J115" s="40"/>
      <c r="K115" s="40"/>
      <c r="L115" s="40"/>
    </row>
    <row r="116" spans="1:12" ht="12" customHeight="1" x14ac:dyDescent="0.25">
      <c r="A116" s="40"/>
      <c r="B116" s="40"/>
      <c r="C116" s="41"/>
      <c r="D116" s="41"/>
      <c r="E116" s="40"/>
      <c r="F116" s="40"/>
      <c r="G116" s="40"/>
      <c r="H116" s="40"/>
      <c r="I116" s="40"/>
      <c r="J116" s="40"/>
      <c r="K116" s="40"/>
      <c r="L116" s="40"/>
    </row>
    <row r="117" spans="1:12" x14ac:dyDescent="0.25">
      <c r="A117" s="40"/>
      <c r="B117" s="40"/>
      <c r="C117" s="41"/>
      <c r="D117" s="41"/>
      <c r="E117" s="40"/>
      <c r="F117" s="40"/>
      <c r="G117" s="40"/>
      <c r="H117" s="40"/>
      <c r="I117" s="40"/>
      <c r="J117" s="40"/>
      <c r="K117" s="40"/>
      <c r="L117" s="40"/>
    </row>
    <row r="118" spans="1:12" x14ac:dyDescent="0.25">
      <c r="A118" s="40"/>
      <c r="B118" s="40"/>
      <c r="C118" s="41"/>
      <c r="D118" s="48"/>
      <c r="E118" s="40"/>
      <c r="F118" s="40"/>
      <c r="G118" s="40"/>
      <c r="H118" s="40"/>
      <c r="I118" s="40"/>
      <c r="J118" s="72"/>
      <c r="K118" s="40"/>
      <c r="L118" s="40"/>
    </row>
    <row r="119" spans="1:12" x14ac:dyDescent="0.25">
      <c r="A119" s="40"/>
      <c r="B119" s="40"/>
      <c r="C119" s="41"/>
      <c r="D119" s="48"/>
      <c r="E119" s="40"/>
      <c r="F119" s="40"/>
      <c r="G119" s="40"/>
      <c r="H119" s="40"/>
      <c r="I119" s="40"/>
      <c r="J119" s="72"/>
      <c r="K119" s="40"/>
      <c r="L119" s="40"/>
    </row>
    <row r="120" spans="1:12" x14ac:dyDescent="0.25">
      <c r="A120" s="40"/>
      <c r="B120" s="40"/>
      <c r="C120" s="41"/>
      <c r="D120" s="41"/>
      <c r="E120" s="40"/>
      <c r="F120" s="40"/>
      <c r="G120" s="40"/>
      <c r="H120" s="40"/>
      <c r="I120" s="40"/>
      <c r="J120" s="40"/>
      <c r="K120" s="40"/>
      <c r="L120" s="40"/>
    </row>
    <row r="121" spans="1:12" x14ac:dyDescent="0.25">
      <c r="A121" s="40"/>
      <c r="B121" s="40"/>
      <c r="C121" s="41"/>
      <c r="D121" s="41"/>
      <c r="E121" s="40"/>
      <c r="F121" s="40"/>
      <c r="G121" s="40"/>
      <c r="H121" s="40"/>
      <c r="I121" s="40"/>
      <c r="J121" s="40"/>
      <c r="K121" s="40"/>
      <c r="L121" s="40"/>
    </row>
    <row r="122" spans="1:12" x14ac:dyDescent="0.25">
      <c r="A122" s="40"/>
      <c r="B122" s="40"/>
      <c r="C122" s="41"/>
      <c r="D122" s="41"/>
      <c r="E122" s="40"/>
      <c r="F122" s="40"/>
      <c r="G122" s="40"/>
      <c r="H122" s="40"/>
      <c r="I122" s="40"/>
      <c r="J122" s="40"/>
      <c r="K122" s="40"/>
      <c r="L122" s="40"/>
    </row>
    <row r="123" spans="1:12" x14ac:dyDescent="0.25">
      <c r="A123" s="40"/>
      <c r="B123" s="40"/>
      <c r="C123" s="41"/>
      <c r="D123" s="41"/>
      <c r="E123" s="40"/>
      <c r="F123" s="40"/>
      <c r="G123" s="40"/>
      <c r="H123" s="40"/>
      <c r="I123" s="40"/>
      <c r="J123" s="40"/>
      <c r="K123" s="40"/>
      <c r="L123" s="40"/>
    </row>
    <row r="124" spans="1:12" x14ac:dyDescent="0.25">
      <c r="A124" s="40"/>
      <c r="B124" s="40"/>
      <c r="C124" s="41"/>
      <c r="D124" s="48"/>
      <c r="E124" s="40"/>
      <c r="F124" s="40"/>
      <c r="G124" s="40"/>
      <c r="H124" s="40"/>
      <c r="I124" s="40"/>
      <c r="J124" s="72"/>
      <c r="K124" s="40"/>
      <c r="L124" s="40"/>
    </row>
    <row r="125" spans="1:12" x14ac:dyDescent="0.25">
      <c r="A125" s="40"/>
      <c r="B125" s="40"/>
      <c r="C125" s="41"/>
      <c r="D125" s="41"/>
      <c r="E125" s="40"/>
      <c r="F125" s="40"/>
      <c r="G125" s="40"/>
      <c r="H125" s="40"/>
      <c r="I125" s="40"/>
      <c r="J125" s="71"/>
      <c r="K125" s="40"/>
      <c r="L125" s="40"/>
    </row>
    <row r="126" spans="1:12" x14ac:dyDescent="0.25">
      <c r="A126" s="40"/>
      <c r="B126" s="40"/>
      <c r="C126" s="41"/>
      <c r="D126" s="41"/>
      <c r="E126" s="40"/>
      <c r="F126" s="40"/>
      <c r="G126" s="40"/>
      <c r="H126" s="40"/>
      <c r="I126" s="40"/>
      <c r="J126" s="40"/>
      <c r="K126" s="40"/>
      <c r="L126" s="40"/>
    </row>
    <row r="127" spans="1:12" x14ac:dyDescent="0.25">
      <c r="A127" s="40"/>
      <c r="B127" s="40"/>
      <c r="C127" s="41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1:12" x14ac:dyDescent="0.25">
      <c r="A128" s="40"/>
      <c r="B128" s="40"/>
      <c r="C128" s="41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1:12" x14ac:dyDescent="0.25">
      <c r="A129" s="40"/>
      <c r="B129" s="40"/>
      <c r="C129" s="41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1:12" x14ac:dyDescent="0.25">
      <c r="A130" s="40"/>
      <c r="B130" s="40"/>
      <c r="C130" s="41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topLeftCell="A34" workbookViewId="0">
      <selection activeCell="J49" sqref="J49"/>
    </sheetView>
  </sheetViews>
  <sheetFormatPr baseColWidth="10" defaultRowHeight="15" x14ac:dyDescent="0.25"/>
  <cols>
    <col min="2" max="2" width="31.140625" customWidth="1"/>
    <col min="3" max="3" width="13.140625" customWidth="1"/>
    <col min="4" max="4" width="13.28515625" customWidth="1"/>
    <col min="6" max="6" width="5.42578125" customWidth="1"/>
    <col min="7" max="7" width="5.28515625" customWidth="1"/>
    <col min="8" max="8" width="30.5703125" customWidth="1"/>
    <col min="9" max="9" width="41.140625" customWidth="1"/>
    <col min="10" max="10" width="14.7109375" customWidth="1"/>
    <col min="11" max="11" width="20.85546875" customWidth="1"/>
  </cols>
  <sheetData>
    <row r="1" spans="1:12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2" s="65" customFormat="1" x14ac:dyDescent="0.25">
      <c r="A2" s="60" t="s">
        <v>2118</v>
      </c>
      <c r="B2" s="60" t="s">
        <v>2171</v>
      </c>
      <c r="C2" s="61">
        <v>45627</v>
      </c>
      <c r="D2" s="61">
        <v>45628</v>
      </c>
      <c r="E2" s="63">
        <f t="shared" ref="E2:E65" si="0">D2-C2+1</f>
        <v>2</v>
      </c>
      <c r="F2" s="60">
        <v>15</v>
      </c>
      <c r="G2" s="60" t="s">
        <v>12</v>
      </c>
      <c r="H2" s="60" t="s">
        <v>931</v>
      </c>
      <c r="I2" s="60" t="s">
        <v>2172</v>
      </c>
      <c r="J2" s="60"/>
      <c r="K2" s="60"/>
      <c r="L2" s="60"/>
    </row>
    <row r="3" spans="1:12" x14ac:dyDescent="0.25">
      <c r="A3" s="40" t="s">
        <v>2178</v>
      </c>
      <c r="B3" s="40" t="s">
        <v>2179</v>
      </c>
      <c r="C3" s="41">
        <v>45627</v>
      </c>
      <c r="D3" s="41">
        <v>45632</v>
      </c>
      <c r="E3" s="52">
        <f t="shared" si="0"/>
        <v>6</v>
      </c>
      <c r="F3" s="40">
        <v>50</v>
      </c>
      <c r="G3" s="40" t="s">
        <v>14</v>
      </c>
      <c r="H3" s="40" t="s">
        <v>2180</v>
      </c>
      <c r="I3" s="40" t="s">
        <v>2181</v>
      </c>
      <c r="J3" s="40"/>
      <c r="K3" s="71"/>
      <c r="L3" s="1"/>
    </row>
    <row r="4" spans="1:12" x14ac:dyDescent="0.25">
      <c r="A4" s="40" t="s">
        <v>2146</v>
      </c>
      <c r="B4" s="40" t="s">
        <v>2148</v>
      </c>
      <c r="C4" s="41">
        <v>45628</v>
      </c>
      <c r="D4" s="41">
        <v>45642</v>
      </c>
      <c r="E4" s="52">
        <f t="shared" si="0"/>
        <v>15</v>
      </c>
      <c r="F4" s="40">
        <v>97</v>
      </c>
      <c r="G4" s="40" t="s">
        <v>12</v>
      </c>
      <c r="H4" s="40" t="s">
        <v>2147</v>
      </c>
      <c r="I4" s="40" t="s">
        <v>1983</v>
      </c>
      <c r="J4" s="40"/>
      <c r="K4" s="40"/>
      <c r="L4" s="1"/>
    </row>
    <row r="5" spans="1:12" x14ac:dyDescent="0.25">
      <c r="A5" s="40" t="s">
        <v>2173</v>
      </c>
      <c r="B5" s="40" t="s">
        <v>2174</v>
      </c>
      <c r="C5" s="41">
        <v>45628</v>
      </c>
      <c r="D5" s="41">
        <v>45631</v>
      </c>
      <c r="E5" s="52">
        <f t="shared" si="0"/>
        <v>4</v>
      </c>
      <c r="F5" s="40">
        <v>22</v>
      </c>
      <c r="G5" s="40" t="s">
        <v>12</v>
      </c>
      <c r="H5" s="40" t="s">
        <v>2175</v>
      </c>
      <c r="I5" s="40" t="s">
        <v>2176</v>
      </c>
      <c r="J5" s="71" t="s">
        <v>2177</v>
      </c>
      <c r="K5" s="40"/>
      <c r="L5" s="1"/>
    </row>
    <row r="6" spans="1:12" x14ac:dyDescent="0.25">
      <c r="A6" s="40" t="s">
        <v>2158</v>
      </c>
      <c r="B6" s="40" t="s">
        <v>2159</v>
      </c>
      <c r="C6" s="41">
        <v>45628</v>
      </c>
      <c r="D6" s="41">
        <v>45635</v>
      </c>
      <c r="E6" s="52">
        <f t="shared" si="0"/>
        <v>8</v>
      </c>
      <c r="F6" s="40">
        <v>52</v>
      </c>
      <c r="G6" s="40" t="s">
        <v>12</v>
      </c>
      <c r="H6" s="40" t="s">
        <v>2160</v>
      </c>
      <c r="I6" s="40" t="s">
        <v>2161</v>
      </c>
      <c r="J6" s="40"/>
      <c r="K6" s="40"/>
      <c r="L6" s="1"/>
    </row>
    <row r="7" spans="1:12" x14ac:dyDescent="0.25">
      <c r="A7" s="40" t="s">
        <v>2281</v>
      </c>
      <c r="B7" s="40" t="s">
        <v>2278</v>
      </c>
      <c r="C7" s="41">
        <v>45631</v>
      </c>
      <c r="D7" s="48">
        <v>45664</v>
      </c>
      <c r="E7" s="52">
        <f t="shared" si="0"/>
        <v>34</v>
      </c>
      <c r="F7" s="40">
        <v>64</v>
      </c>
      <c r="G7" s="40" t="s">
        <v>12</v>
      </c>
      <c r="H7" s="40" t="s">
        <v>2327</v>
      </c>
      <c r="I7" s="40" t="s">
        <v>2328</v>
      </c>
      <c r="J7" s="67" t="s">
        <v>13</v>
      </c>
      <c r="K7" s="40"/>
      <c r="L7" s="1"/>
    </row>
    <row r="8" spans="1:12" x14ac:dyDescent="0.25">
      <c r="A8" s="40" t="s">
        <v>2162</v>
      </c>
      <c r="B8" s="40" t="s">
        <v>2163</v>
      </c>
      <c r="C8" s="41">
        <v>45628</v>
      </c>
      <c r="D8" s="41">
        <v>45632</v>
      </c>
      <c r="E8" s="52">
        <f t="shared" si="0"/>
        <v>5</v>
      </c>
      <c r="F8" s="40">
        <v>44</v>
      </c>
      <c r="G8" s="40" t="s">
        <v>12</v>
      </c>
      <c r="H8" s="40" t="s">
        <v>2164</v>
      </c>
      <c r="I8" s="40" t="s">
        <v>2129</v>
      </c>
      <c r="J8" s="40"/>
      <c r="K8" s="40"/>
      <c r="L8" s="1"/>
    </row>
    <row r="9" spans="1:12" s="65" customFormat="1" x14ac:dyDescent="0.25">
      <c r="A9" s="60" t="s">
        <v>2122</v>
      </c>
      <c r="B9" s="60" t="s">
        <v>2123</v>
      </c>
      <c r="C9" s="61">
        <v>45629</v>
      </c>
      <c r="D9" s="61">
        <v>45635</v>
      </c>
      <c r="E9" s="63">
        <f t="shared" si="0"/>
        <v>7</v>
      </c>
      <c r="F9" s="60">
        <v>67</v>
      </c>
      <c r="G9" s="60" t="s">
        <v>14</v>
      </c>
      <c r="H9" s="60" t="s">
        <v>2124</v>
      </c>
      <c r="I9" s="60" t="s">
        <v>1080</v>
      </c>
      <c r="J9" s="64"/>
      <c r="K9" s="60"/>
      <c r="L9" s="60"/>
    </row>
    <row r="10" spans="1:12" x14ac:dyDescent="0.25">
      <c r="A10" s="40" t="s">
        <v>2282</v>
      </c>
      <c r="B10" s="40" t="s">
        <v>2283</v>
      </c>
      <c r="C10" s="41">
        <v>45629</v>
      </c>
      <c r="D10" s="48"/>
      <c r="E10" s="52">
        <f t="shared" si="0"/>
        <v>-45628</v>
      </c>
      <c r="F10" s="40">
        <v>32</v>
      </c>
      <c r="G10" s="40" t="s">
        <v>12</v>
      </c>
      <c r="H10" s="40" t="s">
        <v>2284</v>
      </c>
      <c r="I10" s="40" t="s">
        <v>1598</v>
      </c>
      <c r="J10" s="67"/>
      <c r="K10" s="40"/>
      <c r="L10" s="1"/>
    </row>
    <row r="11" spans="1:12" s="65" customFormat="1" x14ac:dyDescent="0.25">
      <c r="A11" s="60" t="s">
        <v>2149</v>
      </c>
      <c r="B11" s="60" t="s">
        <v>2150</v>
      </c>
      <c r="C11" s="61">
        <v>45629</v>
      </c>
      <c r="D11" s="61">
        <v>45638</v>
      </c>
      <c r="E11" s="63">
        <f t="shared" si="0"/>
        <v>10</v>
      </c>
      <c r="F11" s="60">
        <v>16</v>
      </c>
      <c r="G11" s="60" t="s">
        <v>14</v>
      </c>
      <c r="H11" s="60" t="s">
        <v>2151</v>
      </c>
      <c r="I11" s="60" t="s">
        <v>1483</v>
      </c>
      <c r="J11" s="60"/>
      <c r="K11" s="60"/>
      <c r="L11" s="60"/>
    </row>
    <row r="12" spans="1:12" s="65" customFormat="1" x14ac:dyDescent="0.25">
      <c r="A12" s="60" t="s">
        <v>2126</v>
      </c>
      <c r="B12" s="60" t="s">
        <v>2127</v>
      </c>
      <c r="C12" s="61">
        <v>45630</v>
      </c>
      <c r="D12" s="61">
        <v>45630</v>
      </c>
      <c r="E12" s="63">
        <f t="shared" si="0"/>
        <v>1</v>
      </c>
      <c r="F12" s="60">
        <v>17</v>
      </c>
      <c r="G12" s="60" t="s">
        <v>12</v>
      </c>
      <c r="H12" s="60" t="s">
        <v>2128</v>
      </c>
      <c r="I12" s="77" t="s">
        <v>1402</v>
      </c>
      <c r="J12" s="135"/>
      <c r="K12" s="60"/>
      <c r="L12" s="60"/>
    </row>
    <row r="13" spans="1:12" x14ac:dyDescent="0.25">
      <c r="A13" s="40" t="s">
        <v>2203</v>
      </c>
      <c r="B13" s="40" t="s">
        <v>2204</v>
      </c>
      <c r="C13" s="41">
        <v>45630</v>
      </c>
      <c r="D13" s="41">
        <v>45650</v>
      </c>
      <c r="E13" s="52">
        <f t="shared" si="0"/>
        <v>21</v>
      </c>
      <c r="F13" s="40" t="s">
        <v>2205</v>
      </c>
      <c r="G13" s="40" t="s">
        <v>12</v>
      </c>
      <c r="H13" s="40" t="s">
        <v>2206</v>
      </c>
      <c r="I13" s="40" t="s">
        <v>2207</v>
      </c>
      <c r="J13" s="71"/>
      <c r="K13" s="40"/>
      <c r="L13" s="1"/>
    </row>
    <row r="14" spans="1:12" x14ac:dyDescent="0.25">
      <c r="A14" s="40" t="s">
        <v>2274</v>
      </c>
      <c r="B14" s="40" t="s">
        <v>2276</v>
      </c>
      <c r="C14" s="41">
        <v>45631</v>
      </c>
      <c r="D14" s="48">
        <v>45661</v>
      </c>
      <c r="E14" s="52">
        <f t="shared" si="0"/>
        <v>31</v>
      </c>
      <c r="F14" s="40">
        <v>17</v>
      </c>
      <c r="G14" s="40" t="s">
        <v>14</v>
      </c>
      <c r="H14" s="40" t="s">
        <v>2275</v>
      </c>
      <c r="I14" s="40" t="s">
        <v>20</v>
      </c>
      <c r="J14" s="67" t="s">
        <v>13</v>
      </c>
      <c r="K14" s="40"/>
      <c r="L14" s="1"/>
    </row>
    <row r="15" spans="1:12" x14ac:dyDescent="0.25">
      <c r="A15" s="40" t="s">
        <v>2191</v>
      </c>
      <c r="B15" s="40" t="s">
        <v>2192</v>
      </c>
      <c r="C15" s="41">
        <v>45631</v>
      </c>
      <c r="D15" s="41">
        <v>45643</v>
      </c>
      <c r="E15" s="52">
        <f t="shared" si="0"/>
        <v>13</v>
      </c>
      <c r="F15" s="40">
        <v>18</v>
      </c>
      <c r="G15" s="40" t="s">
        <v>12</v>
      </c>
      <c r="H15" s="40" t="s">
        <v>2193</v>
      </c>
      <c r="I15" s="40" t="s">
        <v>2133</v>
      </c>
      <c r="J15" s="40"/>
      <c r="K15" s="40"/>
      <c r="L15" s="1"/>
    </row>
    <row r="16" spans="1:12" s="65" customFormat="1" x14ac:dyDescent="0.25">
      <c r="A16" s="60" t="s">
        <v>2155</v>
      </c>
      <c r="B16" s="60" t="s">
        <v>2156</v>
      </c>
      <c r="C16" s="61">
        <v>45630</v>
      </c>
      <c r="D16" s="61">
        <v>45635</v>
      </c>
      <c r="E16" s="63">
        <f t="shared" si="0"/>
        <v>6</v>
      </c>
      <c r="F16" s="60">
        <v>29</v>
      </c>
      <c r="G16" s="60" t="s">
        <v>14</v>
      </c>
      <c r="H16" s="60" t="s">
        <v>2157</v>
      </c>
      <c r="I16" s="60" t="s">
        <v>1483</v>
      </c>
      <c r="J16" s="60"/>
      <c r="K16" s="60"/>
      <c r="L16" s="60"/>
    </row>
    <row r="17" spans="1:13" s="19" customFormat="1" x14ac:dyDescent="0.25">
      <c r="A17" s="18" t="s">
        <v>2143</v>
      </c>
      <c r="B17" s="18" t="s">
        <v>2144</v>
      </c>
      <c r="C17" s="20">
        <v>45631</v>
      </c>
      <c r="D17" s="136">
        <v>45642</v>
      </c>
      <c r="E17" s="133">
        <f t="shared" si="0"/>
        <v>12</v>
      </c>
      <c r="F17" s="18">
        <v>18</v>
      </c>
      <c r="G17" s="18" t="s">
        <v>12</v>
      </c>
      <c r="H17" s="18" t="s">
        <v>2145</v>
      </c>
      <c r="I17" s="33" t="s">
        <v>145</v>
      </c>
      <c r="J17" s="134"/>
      <c r="K17" s="18"/>
      <c r="L17" s="18"/>
    </row>
    <row r="18" spans="1:13" s="19" customFormat="1" x14ac:dyDescent="0.25">
      <c r="A18" s="18" t="s">
        <v>2200</v>
      </c>
      <c r="B18" s="18" t="s">
        <v>30</v>
      </c>
      <c r="C18" s="20">
        <v>45631</v>
      </c>
      <c r="D18" s="20">
        <v>45645</v>
      </c>
      <c r="E18" s="133">
        <f t="shared" si="0"/>
        <v>15</v>
      </c>
      <c r="F18" s="18" t="s">
        <v>2201</v>
      </c>
      <c r="G18" s="18" t="s">
        <v>12</v>
      </c>
      <c r="H18" s="18" t="s">
        <v>2202</v>
      </c>
      <c r="I18" s="33" t="s">
        <v>145</v>
      </c>
      <c r="J18" s="18"/>
      <c r="K18" s="18"/>
      <c r="L18" s="18"/>
    </row>
    <row r="19" spans="1:13" x14ac:dyDescent="0.25">
      <c r="A19" s="40" t="s">
        <v>2255</v>
      </c>
      <c r="B19" s="40" t="s">
        <v>484</v>
      </c>
      <c r="C19" s="41">
        <v>45631</v>
      </c>
      <c r="D19" s="48">
        <v>45639</v>
      </c>
      <c r="E19" s="52">
        <f t="shared" si="0"/>
        <v>9</v>
      </c>
      <c r="F19" s="40">
        <v>53</v>
      </c>
      <c r="G19" s="40" t="s">
        <v>12</v>
      </c>
      <c r="H19" s="40" t="s">
        <v>2256</v>
      </c>
      <c r="I19" s="40" t="s">
        <v>2257</v>
      </c>
      <c r="J19" s="67" t="s">
        <v>13</v>
      </c>
      <c r="K19" s="71"/>
      <c r="L19" s="1"/>
    </row>
    <row r="20" spans="1:13" x14ac:dyDescent="0.25">
      <c r="A20" s="40" t="s">
        <v>2130</v>
      </c>
      <c r="B20" s="40" t="s">
        <v>2131</v>
      </c>
      <c r="C20" s="41">
        <v>45632</v>
      </c>
      <c r="D20" s="41">
        <v>45639</v>
      </c>
      <c r="E20" s="52">
        <f t="shared" si="0"/>
        <v>8</v>
      </c>
      <c r="F20" s="40">
        <v>48</v>
      </c>
      <c r="G20" s="40" t="s">
        <v>12</v>
      </c>
      <c r="H20" s="40" t="s">
        <v>2132</v>
      </c>
      <c r="I20" s="40" t="s">
        <v>2133</v>
      </c>
      <c r="J20" s="40"/>
      <c r="K20" s="40"/>
      <c r="L20" s="1"/>
    </row>
    <row r="21" spans="1:13" s="19" customFormat="1" x14ac:dyDescent="0.25">
      <c r="A21" s="18" t="s">
        <v>2197</v>
      </c>
      <c r="B21" s="18" t="s">
        <v>2198</v>
      </c>
      <c r="C21" s="20">
        <v>45634</v>
      </c>
      <c r="D21" s="136">
        <v>45649</v>
      </c>
      <c r="E21" s="133">
        <f t="shared" si="0"/>
        <v>16</v>
      </c>
      <c r="F21" s="18">
        <v>22</v>
      </c>
      <c r="G21" s="18" t="s">
        <v>12</v>
      </c>
      <c r="H21" s="18" t="s">
        <v>2199</v>
      </c>
      <c r="I21" s="33" t="s">
        <v>145</v>
      </c>
      <c r="J21" s="134"/>
      <c r="K21" s="18"/>
      <c r="L21" s="18"/>
      <c r="M21" s="19" t="s">
        <v>56</v>
      </c>
    </row>
    <row r="22" spans="1:13" s="65" customFormat="1" x14ac:dyDescent="0.25">
      <c r="A22" s="60" t="s">
        <v>2119</v>
      </c>
      <c r="B22" s="60" t="s">
        <v>2120</v>
      </c>
      <c r="C22" s="61">
        <v>45635</v>
      </c>
      <c r="D22" s="61">
        <v>45635</v>
      </c>
      <c r="E22" s="63">
        <f t="shared" si="0"/>
        <v>1</v>
      </c>
      <c r="F22" s="60">
        <v>20</v>
      </c>
      <c r="G22" s="60" t="s">
        <v>12</v>
      </c>
      <c r="H22" s="60" t="s">
        <v>2121</v>
      </c>
      <c r="I22" s="77" t="s">
        <v>1725</v>
      </c>
      <c r="J22" s="64"/>
      <c r="K22" s="60"/>
      <c r="L22" s="60"/>
    </row>
    <row r="23" spans="1:13" x14ac:dyDescent="0.25">
      <c r="A23" s="40" t="s">
        <v>2247</v>
      </c>
      <c r="B23" s="40" t="s">
        <v>2248</v>
      </c>
      <c r="C23" s="41">
        <v>45635</v>
      </c>
      <c r="D23" s="48">
        <v>45645</v>
      </c>
      <c r="E23" s="52">
        <f t="shared" si="0"/>
        <v>11</v>
      </c>
      <c r="F23" s="40">
        <v>86</v>
      </c>
      <c r="G23" s="40" t="s">
        <v>12</v>
      </c>
      <c r="H23" s="40" t="s">
        <v>2249</v>
      </c>
      <c r="I23" s="40" t="s">
        <v>2250</v>
      </c>
      <c r="J23" s="67" t="s">
        <v>13</v>
      </c>
      <c r="K23" s="40"/>
      <c r="L23" s="1"/>
    </row>
    <row r="24" spans="1:13" x14ac:dyDescent="0.25">
      <c r="A24" s="40" t="s">
        <v>2251</v>
      </c>
      <c r="B24" s="40" t="s">
        <v>2254</v>
      </c>
      <c r="C24" s="41">
        <v>45635</v>
      </c>
      <c r="D24" s="48">
        <v>45648</v>
      </c>
      <c r="E24" s="52">
        <f t="shared" si="0"/>
        <v>14</v>
      </c>
      <c r="F24" s="40">
        <v>49</v>
      </c>
      <c r="G24" s="40" t="s">
        <v>12</v>
      </c>
      <c r="H24" s="40" t="s">
        <v>2252</v>
      </c>
      <c r="I24" s="40" t="s">
        <v>2253</v>
      </c>
      <c r="J24" s="67" t="s">
        <v>13</v>
      </c>
      <c r="K24" s="40"/>
      <c r="L24" s="1"/>
    </row>
    <row r="25" spans="1:13" x14ac:dyDescent="0.25">
      <c r="A25" s="40" t="s">
        <v>2134</v>
      </c>
      <c r="B25" s="40" t="s">
        <v>2135</v>
      </c>
      <c r="C25" s="41">
        <v>45636</v>
      </c>
      <c r="D25" s="74">
        <v>45639</v>
      </c>
      <c r="E25" s="52">
        <f t="shared" si="0"/>
        <v>4</v>
      </c>
      <c r="F25" s="40">
        <v>69</v>
      </c>
      <c r="G25" s="40" t="s">
        <v>14</v>
      </c>
      <c r="H25" s="40" t="s">
        <v>2136</v>
      </c>
      <c r="I25" s="40" t="s">
        <v>2137</v>
      </c>
      <c r="J25" s="67"/>
      <c r="K25" s="66"/>
      <c r="L25" s="1"/>
    </row>
    <row r="26" spans="1:13" x14ac:dyDescent="0.25">
      <c r="A26" s="40" t="s">
        <v>2208</v>
      </c>
      <c r="B26" s="40" t="s">
        <v>2209</v>
      </c>
      <c r="C26" s="41">
        <v>45638</v>
      </c>
      <c r="D26" s="41">
        <v>45645</v>
      </c>
      <c r="E26" s="52">
        <f t="shared" si="0"/>
        <v>8</v>
      </c>
      <c r="F26" s="40">
        <v>48</v>
      </c>
      <c r="G26" s="40" t="s">
        <v>12</v>
      </c>
      <c r="H26" s="40" t="s">
        <v>2210</v>
      </c>
      <c r="I26" s="40" t="s">
        <v>2318</v>
      </c>
      <c r="J26" s="40"/>
      <c r="K26" s="40"/>
      <c r="L26" s="1"/>
    </row>
    <row r="27" spans="1:13" x14ac:dyDescent="0.25">
      <c r="A27" s="40" t="s">
        <v>2138</v>
      </c>
      <c r="B27" s="40" t="s">
        <v>2139</v>
      </c>
      <c r="C27" s="41">
        <v>45637</v>
      </c>
      <c r="D27" s="41">
        <v>45639</v>
      </c>
      <c r="E27" s="52">
        <f t="shared" si="0"/>
        <v>3</v>
      </c>
      <c r="F27" s="40">
        <v>25</v>
      </c>
      <c r="G27" s="40" t="s">
        <v>12</v>
      </c>
      <c r="H27" s="40" t="s">
        <v>2140</v>
      </c>
      <c r="I27" s="40" t="s">
        <v>2141</v>
      </c>
      <c r="J27" s="40"/>
      <c r="K27" s="40"/>
      <c r="L27" s="1"/>
    </row>
    <row r="28" spans="1:13" x14ac:dyDescent="0.25">
      <c r="A28" s="40" t="s">
        <v>2166</v>
      </c>
      <c r="B28" s="40" t="s">
        <v>2167</v>
      </c>
      <c r="C28" s="41">
        <v>45630</v>
      </c>
      <c r="D28" s="41">
        <v>45638</v>
      </c>
      <c r="E28" s="52">
        <f t="shared" si="0"/>
        <v>9</v>
      </c>
      <c r="F28" s="40">
        <v>50</v>
      </c>
      <c r="G28" s="40" t="s">
        <v>12</v>
      </c>
      <c r="H28" s="40" t="s">
        <v>2168</v>
      </c>
      <c r="I28" s="40" t="s">
        <v>2169</v>
      </c>
      <c r="J28" s="40"/>
      <c r="K28" s="40"/>
      <c r="L28" s="1"/>
    </row>
    <row r="29" spans="1:13" x14ac:dyDescent="0.25">
      <c r="A29" s="40" t="s">
        <v>2244</v>
      </c>
      <c r="B29" s="40" t="s">
        <v>2245</v>
      </c>
      <c r="C29" s="41">
        <v>45639</v>
      </c>
      <c r="D29" s="41">
        <v>45653</v>
      </c>
      <c r="E29" s="52">
        <f t="shared" si="0"/>
        <v>15</v>
      </c>
      <c r="F29" s="40">
        <v>25</v>
      </c>
      <c r="G29" s="40" t="s">
        <v>14</v>
      </c>
      <c r="H29" s="40" t="s">
        <v>2246</v>
      </c>
      <c r="I29" s="40" t="s">
        <v>46</v>
      </c>
      <c r="J29" s="40"/>
      <c r="K29" s="40"/>
      <c r="L29" s="1"/>
      <c r="M29" s="17"/>
    </row>
    <row r="30" spans="1:13" x14ac:dyDescent="0.25">
      <c r="A30" s="40" t="s">
        <v>2194</v>
      </c>
      <c r="B30" s="40" t="s">
        <v>2195</v>
      </c>
      <c r="C30" s="41">
        <v>45638</v>
      </c>
      <c r="D30" s="41">
        <v>45645</v>
      </c>
      <c r="E30" s="52">
        <f t="shared" si="0"/>
        <v>8</v>
      </c>
      <c r="F30" s="40">
        <v>67</v>
      </c>
      <c r="G30" s="40" t="s">
        <v>12</v>
      </c>
      <c r="H30" s="40" t="s">
        <v>2196</v>
      </c>
      <c r="I30" s="40" t="s">
        <v>132</v>
      </c>
      <c r="J30" s="40"/>
      <c r="K30" s="40"/>
      <c r="L30" s="1"/>
    </row>
    <row r="31" spans="1:13" s="65" customFormat="1" x14ac:dyDescent="0.25">
      <c r="A31" s="60" t="s">
        <v>2241</v>
      </c>
      <c r="B31" s="60" t="s">
        <v>2242</v>
      </c>
      <c r="C31" s="61">
        <v>45639</v>
      </c>
      <c r="D31" s="76">
        <v>45646</v>
      </c>
      <c r="E31" s="63">
        <f t="shared" si="0"/>
        <v>8</v>
      </c>
      <c r="F31" s="60">
        <v>22</v>
      </c>
      <c r="G31" s="60" t="s">
        <v>14</v>
      </c>
      <c r="H31" s="60" t="s">
        <v>2243</v>
      </c>
      <c r="I31" s="60" t="s">
        <v>2319</v>
      </c>
      <c r="J31" s="77" t="s">
        <v>13</v>
      </c>
      <c r="K31" s="135"/>
      <c r="L31" s="60"/>
    </row>
    <row r="32" spans="1:13" s="65" customFormat="1" x14ac:dyDescent="0.25">
      <c r="A32" s="60" t="s">
        <v>2188</v>
      </c>
      <c r="B32" s="60" t="s">
        <v>2189</v>
      </c>
      <c r="C32" s="61">
        <v>45639</v>
      </c>
      <c r="D32" s="61">
        <v>45643</v>
      </c>
      <c r="E32" s="63">
        <f t="shared" si="0"/>
        <v>5</v>
      </c>
      <c r="F32" s="60">
        <v>54</v>
      </c>
      <c r="G32" s="60" t="s">
        <v>12</v>
      </c>
      <c r="H32" s="60" t="s">
        <v>2190</v>
      </c>
      <c r="I32" s="77" t="s">
        <v>965</v>
      </c>
      <c r="J32" s="60"/>
      <c r="K32" s="60"/>
      <c r="L32" s="60"/>
    </row>
    <row r="33" spans="1:14" x14ac:dyDescent="0.25">
      <c r="A33" s="40" t="s">
        <v>2211</v>
      </c>
      <c r="B33" s="40" t="s">
        <v>2212</v>
      </c>
      <c r="C33" s="41">
        <v>45641</v>
      </c>
      <c r="D33" s="41">
        <v>45652</v>
      </c>
      <c r="E33" s="52">
        <f t="shared" si="0"/>
        <v>12</v>
      </c>
      <c r="F33" s="40">
        <v>46</v>
      </c>
      <c r="G33" s="40" t="s">
        <v>12</v>
      </c>
      <c r="H33" s="40" t="s">
        <v>2213</v>
      </c>
      <c r="I33" s="40" t="s">
        <v>298</v>
      </c>
      <c r="J33" s="67"/>
      <c r="K33" s="40"/>
      <c r="L33" s="1"/>
    </row>
    <row r="34" spans="1:14" x14ac:dyDescent="0.25">
      <c r="A34" s="40" t="s">
        <v>2285</v>
      </c>
      <c r="B34" s="40" t="s">
        <v>2286</v>
      </c>
      <c r="C34" s="41">
        <v>45642</v>
      </c>
      <c r="D34" s="41"/>
      <c r="E34" s="52">
        <f t="shared" si="0"/>
        <v>-45641</v>
      </c>
      <c r="F34" s="40">
        <v>39</v>
      </c>
      <c r="G34" s="40" t="s">
        <v>12</v>
      </c>
      <c r="H34" s="40" t="s">
        <v>2296</v>
      </c>
      <c r="I34" s="40" t="s">
        <v>1829</v>
      </c>
      <c r="J34" s="40"/>
      <c r="K34" s="40"/>
      <c r="L34" s="1"/>
    </row>
    <row r="35" spans="1:14" x14ac:dyDescent="0.25">
      <c r="A35" s="40" t="s">
        <v>2287</v>
      </c>
      <c r="B35" s="40" t="s">
        <v>2288</v>
      </c>
      <c r="C35" s="41">
        <v>45642</v>
      </c>
      <c r="D35" s="48">
        <v>45661</v>
      </c>
      <c r="E35" s="52">
        <f t="shared" si="0"/>
        <v>20</v>
      </c>
      <c r="F35" s="40">
        <v>60</v>
      </c>
      <c r="G35" s="40" t="s">
        <v>12</v>
      </c>
      <c r="H35" s="40" t="s">
        <v>2329</v>
      </c>
      <c r="I35" s="40" t="s">
        <v>2330</v>
      </c>
      <c r="J35" s="67" t="s">
        <v>13</v>
      </c>
      <c r="K35" s="40"/>
      <c r="L35" s="1"/>
    </row>
    <row r="36" spans="1:14" x14ac:dyDescent="0.25">
      <c r="A36" s="40" t="s">
        <v>2289</v>
      </c>
      <c r="B36" s="40" t="s">
        <v>2290</v>
      </c>
      <c r="C36" s="41">
        <v>45642</v>
      </c>
      <c r="D36" s="48">
        <v>45678</v>
      </c>
      <c r="E36" s="52">
        <f t="shared" si="0"/>
        <v>37</v>
      </c>
      <c r="F36" s="40">
        <v>46</v>
      </c>
      <c r="G36" s="40" t="s">
        <v>12</v>
      </c>
      <c r="H36" s="40" t="s">
        <v>2291</v>
      </c>
      <c r="I36" s="40" t="s">
        <v>1374</v>
      </c>
      <c r="J36" s="67" t="s">
        <v>13</v>
      </c>
      <c r="K36" s="40"/>
      <c r="L36" s="1"/>
    </row>
    <row r="37" spans="1:14" x14ac:dyDescent="0.25">
      <c r="A37" s="40" t="s">
        <v>2292</v>
      </c>
      <c r="B37" s="40" t="s">
        <v>2293</v>
      </c>
      <c r="C37" s="41">
        <v>45642</v>
      </c>
      <c r="D37" s="74">
        <v>45646</v>
      </c>
      <c r="E37" s="52">
        <f t="shared" si="0"/>
        <v>5</v>
      </c>
      <c r="F37" s="40">
        <v>24</v>
      </c>
      <c r="G37" s="40" t="s">
        <v>12</v>
      </c>
      <c r="H37" s="40" t="s">
        <v>2294</v>
      </c>
      <c r="I37" s="40" t="s">
        <v>2295</v>
      </c>
      <c r="J37" s="67"/>
      <c r="K37" s="40"/>
      <c r="L37" s="1"/>
    </row>
    <row r="38" spans="1:14" x14ac:dyDescent="0.25">
      <c r="A38" s="40" t="s">
        <v>2297</v>
      </c>
      <c r="B38" s="40" t="s">
        <v>2298</v>
      </c>
      <c r="C38" s="41">
        <v>45642</v>
      </c>
      <c r="D38" s="74">
        <v>45646</v>
      </c>
      <c r="E38" s="52">
        <f t="shared" si="0"/>
        <v>5</v>
      </c>
      <c r="F38" s="40">
        <v>37</v>
      </c>
      <c r="G38" s="40" t="s">
        <v>14</v>
      </c>
      <c r="H38" s="40" t="s">
        <v>2299</v>
      </c>
      <c r="I38" s="40" t="s">
        <v>454</v>
      </c>
      <c r="J38" s="71" t="s">
        <v>2323</v>
      </c>
      <c r="K38" s="40"/>
      <c r="L38" s="1"/>
      <c r="N38">
        <v>0</v>
      </c>
    </row>
    <row r="39" spans="1:14" s="65" customFormat="1" x14ac:dyDescent="0.25">
      <c r="A39" s="60" t="s">
        <v>2300</v>
      </c>
      <c r="B39" s="60" t="s">
        <v>2286</v>
      </c>
      <c r="C39" s="61">
        <v>45642</v>
      </c>
      <c r="D39" s="76">
        <v>45666</v>
      </c>
      <c r="E39" s="63">
        <f t="shared" si="0"/>
        <v>25</v>
      </c>
      <c r="F39" s="60">
        <v>32</v>
      </c>
      <c r="G39" s="60" t="s">
        <v>12</v>
      </c>
      <c r="H39" s="60" t="s">
        <v>2301</v>
      </c>
      <c r="I39" s="60" t="s">
        <v>1080</v>
      </c>
      <c r="J39" s="77" t="s">
        <v>13</v>
      </c>
      <c r="K39" s="60"/>
      <c r="L39" s="60"/>
    </row>
    <row r="40" spans="1:14" s="19" customFormat="1" x14ac:dyDescent="0.25">
      <c r="A40" s="18" t="s">
        <v>2267</v>
      </c>
      <c r="B40" s="18" t="s">
        <v>369</v>
      </c>
      <c r="C40" s="20">
        <v>45642</v>
      </c>
      <c r="D40" s="20">
        <v>45663</v>
      </c>
      <c r="E40" s="133">
        <f t="shared" si="0"/>
        <v>22</v>
      </c>
      <c r="F40" s="18">
        <v>38</v>
      </c>
      <c r="G40" s="18" t="s">
        <v>12</v>
      </c>
      <c r="H40" s="18" t="s">
        <v>2268</v>
      </c>
      <c r="I40" s="33" t="s">
        <v>145</v>
      </c>
      <c r="J40" s="18"/>
      <c r="K40" s="18"/>
      <c r="L40" s="18"/>
    </row>
    <row r="41" spans="1:14" x14ac:dyDescent="0.25">
      <c r="A41" s="40" t="s">
        <v>2229</v>
      </c>
      <c r="B41" s="40" t="s">
        <v>254</v>
      </c>
      <c r="C41" s="41">
        <v>45643</v>
      </c>
      <c r="D41" s="74">
        <v>45649</v>
      </c>
      <c r="E41" s="52">
        <f t="shared" si="0"/>
        <v>7</v>
      </c>
      <c r="F41" s="40">
        <v>28</v>
      </c>
      <c r="G41" s="40" t="s">
        <v>12</v>
      </c>
      <c r="H41" s="40" t="s">
        <v>2230</v>
      </c>
      <c r="I41" s="40" t="s">
        <v>1209</v>
      </c>
      <c r="J41" s="71" t="s">
        <v>45</v>
      </c>
      <c r="K41" s="40"/>
      <c r="L41" s="1"/>
    </row>
    <row r="42" spans="1:14" x14ac:dyDescent="0.25">
      <c r="A42" s="40" t="s">
        <v>2222</v>
      </c>
      <c r="B42" s="40" t="s">
        <v>2223</v>
      </c>
      <c r="C42" s="41">
        <v>45643</v>
      </c>
      <c r="D42" s="41">
        <v>45645</v>
      </c>
      <c r="E42" s="52">
        <f t="shared" si="0"/>
        <v>3</v>
      </c>
      <c r="F42" s="40">
        <v>23</v>
      </c>
      <c r="G42" s="40" t="s">
        <v>14</v>
      </c>
      <c r="H42" s="40" t="s">
        <v>2224</v>
      </c>
      <c r="I42" s="40" t="s">
        <v>2225</v>
      </c>
      <c r="J42" s="40"/>
      <c r="K42" s="40"/>
      <c r="L42" s="1"/>
    </row>
    <row r="43" spans="1:14" x14ac:dyDescent="0.25">
      <c r="A43" s="40" t="s">
        <v>2218</v>
      </c>
      <c r="B43" s="40" t="s">
        <v>2219</v>
      </c>
      <c r="C43" s="41">
        <v>45644</v>
      </c>
      <c r="D43" s="41">
        <v>45652</v>
      </c>
      <c r="E43" s="52">
        <f t="shared" si="0"/>
        <v>9</v>
      </c>
      <c r="F43" s="40">
        <v>50</v>
      </c>
      <c r="G43" s="40" t="s">
        <v>14</v>
      </c>
      <c r="H43" s="40" t="s">
        <v>2220</v>
      </c>
      <c r="I43" s="40" t="s">
        <v>2221</v>
      </c>
      <c r="J43" s="40"/>
      <c r="K43" s="40"/>
      <c r="L43" s="1"/>
    </row>
    <row r="44" spans="1:14" x14ac:dyDescent="0.25">
      <c r="A44" s="40" t="s">
        <v>2231</v>
      </c>
      <c r="B44" s="40" t="s">
        <v>2232</v>
      </c>
      <c r="C44" s="41">
        <v>45645</v>
      </c>
      <c r="D44" s="48">
        <v>45650</v>
      </c>
      <c r="E44" s="52">
        <f t="shared" si="0"/>
        <v>6</v>
      </c>
      <c r="F44" s="40">
        <v>42</v>
      </c>
      <c r="G44" s="40" t="s">
        <v>12</v>
      </c>
      <c r="H44" s="40" t="s">
        <v>2233</v>
      </c>
      <c r="I44" s="40" t="s">
        <v>2234</v>
      </c>
      <c r="J44" s="67" t="s">
        <v>13</v>
      </c>
      <c r="K44" s="40"/>
      <c r="L44" s="1"/>
    </row>
    <row r="45" spans="1:14" x14ac:dyDescent="0.25">
      <c r="A45" s="40" t="s">
        <v>2235</v>
      </c>
      <c r="B45" s="40" t="s">
        <v>2236</v>
      </c>
      <c r="C45" s="41">
        <v>45645</v>
      </c>
      <c r="D45" s="48">
        <v>45646</v>
      </c>
      <c r="E45" s="52">
        <f t="shared" si="0"/>
        <v>2</v>
      </c>
      <c r="F45" s="40">
        <v>37</v>
      </c>
      <c r="G45" s="40" t="s">
        <v>12</v>
      </c>
      <c r="H45" s="40" t="s">
        <v>2237</v>
      </c>
      <c r="I45" s="40" t="s">
        <v>16</v>
      </c>
      <c r="J45" s="67" t="s">
        <v>13</v>
      </c>
      <c r="K45" s="40"/>
      <c r="L45" s="1"/>
    </row>
    <row r="46" spans="1:14" x14ac:dyDescent="0.25">
      <c r="A46" s="40" t="s">
        <v>2226</v>
      </c>
      <c r="B46" s="40" t="s">
        <v>2227</v>
      </c>
      <c r="C46" s="41">
        <v>45646</v>
      </c>
      <c r="D46" s="41">
        <v>45649</v>
      </c>
      <c r="E46" s="52">
        <f t="shared" si="0"/>
        <v>4</v>
      </c>
      <c r="F46" s="40">
        <v>39</v>
      </c>
      <c r="G46" s="40" t="s">
        <v>12</v>
      </c>
      <c r="H46" s="40" t="s">
        <v>2228</v>
      </c>
      <c r="I46" s="40" t="s">
        <v>1093</v>
      </c>
      <c r="J46" s="40"/>
      <c r="K46" s="40"/>
      <c r="L46" s="1"/>
    </row>
    <row r="47" spans="1:14" x14ac:dyDescent="0.25">
      <c r="A47" s="40" t="s">
        <v>2238</v>
      </c>
      <c r="B47" s="40" t="s">
        <v>2239</v>
      </c>
      <c r="C47" s="41">
        <v>45646</v>
      </c>
      <c r="D47" s="48">
        <v>45647</v>
      </c>
      <c r="E47" s="52">
        <f t="shared" si="0"/>
        <v>2</v>
      </c>
      <c r="F47" s="40">
        <v>45</v>
      </c>
      <c r="G47" s="40" t="s">
        <v>14</v>
      </c>
      <c r="H47" s="40" t="s">
        <v>2240</v>
      </c>
      <c r="I47" s="40" t="s">
        <v>20</v>
      </c>
      <c r="J47" s="40" t="s">
        <v>13</v>
      </c>
      <c r="K47" s="67"/>
      <c r="L47" s="1"/>
    </row>
    <row r="48" spans="1:14" s="19" customFormat="1" x14ac:dyDescent="0.25">
      <c r="A48" s="18" t="s">
        <v>2302</v>
      </c>
      <c r="B48" s="18" t="s">
        <v>60</v>
      </c>
      <c r="C48" s="20">
        <v>45646</v>
      </c>
      <c r="D48" s="20">
        <v>45681</v>
      </c>
      <c r="E48" s="133">
        <f t="shared" si="0"/>
        <v>36</v>
      </c>
      <c r="F48" s="18">
        <v>16</v>
      </c>
      <c r="G48" s="18" t="s">
        <v>12</v>
      </c>
      <c r="H48" s="18" t="s">
        <v>2303</v>
      </c>
      <c r="I48" s="33" t="s">
        <v>2331</v>
      </c>
      <c r="J48" s="18"/>
      <c r="K48" s="18"/>
      <c r="L48" s="18"/>
    </row>
    <row r="49" spans="1:12" x14ac:dyDescent="0.25">
      <c r="A49" s="40" t="s">
        <v>2269</v>
      </c>
      <c r="B49" s="40" t="s">
        <v>2270</v>
      </c>
      <c r="C49" s="41">
        <v>45648</v>
      </c>
      <c r="D49" s="74">
        <v>45297</v>
      </c>
      <c r="E49" s="52">
        <f t="shared" si="0"/>
        <v>-350</v>
      </c>
      <c r="F49" s="40">
        <v>29</v>
      </c>
      <c r="G49" s="40" t="s">
        <v>12</v>
      </c>
      <c r="H49" s="40" t="s">
        <v>2271</v>
      </c>
      <c r="I49" s="40" t="s">
        <v>2169</v>
      </c>
      <c r="J49" s="71" t="s">
        <v>45</v>
      </c>
      <c r="K49" s="40"/>
      <c r="L49" s="1"/>
    </row>
    <row r="50" spans="1:12" x14ac:dyDescent="0.25">
      <c r="A50" s="40" t="s">
        <v>2263</v>
      </c>
      <c r="B50" s="40" t="s">
        <v>2264</v>
      </c>
      <c r="C50" s="41">
        <v>45649</v>
      </c>
      <c r="D50" s="41">
        <v>45659</v>
      </c>
      <c r="E50" s="52">
        <f t="shared" si="0"/>
        <v>11</v>
      </c>
      <c r="F50" s="40">
        <v>18</v>
      </c>
      <c r="G50" s="40" t="s">
        <v>14</v>
      </c>
      <c r="H50" s="40" t="s">
        <v>2265</v>
      </c>
      <c r="I50" s="40" t="s">
        <v>2266</v>
      </c>
      <c r="J50" s="40"/>
      <c r="K50" s="40"/>
      <c r="L50" s="1"/>
    </row>
    <row r="51" spans="1:12" x14ac:dyDescent="0.25">
      <c r="A51" s="40" t="s">
        <v>2259</v>
      </c>
      <c r="B51" s="40" t="s">
        <v>2260</v>
      </c>
      <c r="C51" s="41">
        <v>45653</v>
      </c>
      <c r="D51" s="41">
        <v>45659</v>
      </c>
      <c r="E51" s="52">
        <f t="shared" si="0"/>
        <v>7</v>
      </c>
      <c r="F51" s="40">
        <v>21</v>
      </c>
      <c r="G51" s="40" t="s">
        <v>12</v>
      </c>
      <c r="H51" s="40" t="s">
        <v>2261</v>
      </c>
      <c r="I51" s="40" t="s">
        <v>2262</v>
      </c>
      <c r="J51" s="40"/>
      <c r="K51" s="40"/>
      <c r="L51" s="1"/>
    </row>
    <row r="52" spans="1:12" x14ac:dyDescent="0.25">
      <c r="A52" s="40" t="s">
        <v>2214</v>
      </c>
      <c r="B52" s="40" t="s">
        <v>2217</v>
      </c>
      <c r="C52" s="41">
        <v>45652</v>
      </c>
      <c r="D52" s="41">
        <v>45654</v>
      </c>
      <c r="E52" s="52">
        <f t="shared" si="0"/>
        <v>3</v>
      </c>
      <c r="F52" s="40">
        <v>28</v>
      </c>
      <c r="G52" s="40" t="s">
        <v>14</v>
      </c>
      <c r="H52" s="40" t="s">
        <v>2215</v>
      </c>
      <c r="I52" s="40" t="s">
        <v>2216</v>
      </c>
      <c r="J52" s="71" t="s">
        <v>45</v>
      </c>
      <c r="K52" s="40"/>
      <c r="L52" s="1"/>
    </row>
    <row r="53" spans="1:12" x14ac:dyDescent="0.25">
      <c r="A53" s="40" t="s">
        <v>2272</v>
      </c>
      <c r="B53" s="40" t="s">
        <v>33</v>
      </c>
      <c r="C53" s="41">
        <v>45654</v>
      </c>
      <c r="D53" s="48">
        <v>45657</v>
      </c>
      <c r="E53" s="52">
        <f t="shared" si="0"/>
        <v>4</v>
      </c>
      <c r="F53" s="40">
        <v>44</v>
      </c>
      <c r="G53" s="40" t="s">
        <v>12</v>
      </c>
      <c r="H53" s="40" t="s">
        <v>2273</v>
      </c>
      <c r="I53" s="40" t="s">
        <v>16</v>
      </c>
      <c r="J53" s="67" t="s">
        <v>13</v>
      </c>
      <c r="K53" s="40"/>
      <c r="L53" s="1"/>
    </row>
    <row r="54" spans="1:12" x14ac:dyDescent="0.25">
      <c r="A54" s="40" t="s">
        <v>2277</v>
      </c>
      <c r="B54" s="40" t="s">
        <v>2278</v>
      </c>
      <c r="C54" s="41">
        <v>45631</v>
      </c>
      <c r="D54" s="48">
        <v>45664</v>
      </c>
      <c r="E54" s="52">
        <f t="shared" si="0"/>
        <v>34</v>
      </c>
      <c r="F54" s="40">
        <v>64</v>
      </c>
      <c r="G54" s="40" t="s">
        <v>12</v>
      </c>
      <c r="H54" s="40" t="s">
        <v>2279</v>
      </c>
      <c r="I54" s="40" t="s">
        <v>2280</v>
      </c>
      <c r="J54" s="67" t="s">
        <v>13</v>
      </c>
      <c r="K54" s="40"/>
      <c r="L54" s="1"/>
    </row>
    <row r="55" spans="1:12" x14ac:dyDescent="0.25">
      <c r="A55" s="40" t="s">
        <v>2304</v>
      </c>
      <c r="B55" s="40" t="s">
        <v>2305</v>
      </c>
      <c r="C55" s="41">
        <v>45656</v>
      </c>
      <c r="D55" s="41">
        <v>45664</v>
      </c>
      <c r="E55" s="52">
        <f t="shared" si="0"/>
        <v>9</v>
      </c>
      <c r="F55" s="40">
        <v>32</v>
      </c>
      <c r="G55" s="40" t="s">
        <v>14</v>
      </c>
      <c r="H55" s="40" t="s">
        <v>2306</v>
      </c>
      <c r="I55" s="40" t="s">
        <v>2169</v>
      </c>
      <c r="J55" s="40"/>
      <c r="K55" s="40"/>
      <c r="L55" s="1"/>
    </row>
    <row r="56" spans="1:12" s="19" customFormat="1" x14ac:dyDescent="0.25">
      <c r="A56" s="18" t="s">
        <v>2307</v>
      </c>
      <c r="B56" s="18" t="s">
        <v>2308</v>
      </c>
      <c r="C56" s="20">
        <v>45655</v>
      </c>
      <c r="D56" s="20">
        <v>45666</v>
      </c>
      <c r="E56" s="133">
        <f t="shared" si="0"/>
        <v>12</v>
      </c>
      <c r="F56" s="18">
        <v>41</v>
      </c>
      <c r="G56" s="18" t="s">
        <v>12</v>
      </c>
      <c r="H56" s="18" t="s">
        <v>2325</v>
      </c>
      <c r="I56" s="33" t="s">
        <v>145</v>
      </c>
      <c r="J56" s="33"/>
      <c r="K56" s="18"/>
      <c r="L56" s="18"/>
    </row>
    <row r="57" spans="1:12" x14ac:dyDescent="0.25">
      <c r="A57" s="40" t="s">
        <v>2309</v>
      </c>
      <c r="B57" s="40" t="s">
        <v>2310</v>
      </c>
      <c r="C57" s="41">
        <v>45657</v>
      </c>
      <c r="D57" s="41">
        <v>45664</v>
      </c>
      <c r="E57" s="52">
        <f t="shared" si="0"/>
        <v>8</v>
      </c>
      <c r="F57" s="40">
        <v>16</v>
      </c>
      <c r="G57" s="40" t="s">
        <v>12</v>
      </c>
      <c r="H57" s="40" t="s">
        <v>2311</v>
      </c>
      <c r="I57" s="40" t="s">
        <v>2312</v>
      </c>
      <c r="J57" s="40"/>
      <c r="K57" s="40"/>
      <c r="L57" s="1"/>
    </row>
    <row r="58" spans="1:12" x14ac:dyDescent="0.25">
      <c r="A58" s="40" t="s">
        <v>2313</v>
      </c>
      <c r="B58" s="40" t="s">
        <v>2314</v>
      </c>
      <c r="C58" s="41">
        <v>45657</v>
      </c>
      <c r="D58" s="41">
        <v>45661</v>
      </c>
      <c r="E58" s="52">
        <f t="shared" si="0"/>
        <v>5</v>
      </c>
      <c r="F58" s="40">
        <v>33</v>
      </c>
      <c r="G58" s="40" t="s">
        <v>12</v>
      </c>
      <c r="H58" s="40" t="s">
        <v>2315</v>
      </c>
      <c r="I58" s="40" t="s">
        <v>2324</v>
      </c>
      <c r="J58" s="40"/>
      <c r="K58" s="40"/>
      <c r="L58" s="1"/>
    </row>
    <row r="59" spans="1:12" s="65" customFormat="1" x14ac:dyDescent="0.25">
      <c r="A59" s="60" t="s">
        <v>2304</v>
      </c>
      <c r="B59" s="60" t="s">
        <v>2316</v>
      </c>
      <c r="C59" s="61">
        <v>45654</v>
      </c>
      <c r="D59" s="62">
        <v>45674</v>
      </c>
      <c r="E59" s="63">
        <f t="shared" si="0"/>
        <v>21</v>
      </c>
      <c r="F59" s="60">
        <v>44</v>
      </c>
      <c r="G59" s="60" t="s">
        <v>12</v>
      </c>
      <c r="H59" s="60" t="s">
        <v>2317</v>
      </c>
      <c r="I59" s="60" t="s">
        <v>2326</v>
      </c>
      <c r="J59" s="77"/>
      <c r="K59" s="60"/>
      <c r="L59" s="60"/>
    </row>
    <row r="60" spans="1:12" x14ac:dyDescent="0.25">
      <c r="A60" s="40" t="s">
        <v>2320</v>
      </c>
      <c r="B60" s="40" t="s">
        <v>2321</v>
      </c>
      <c r="C60" s="41">
        <v>45653</v>
      </c>
      <c r="D60" s="41">
        <v>45660</v>
      </c>
      <c r="E60" s="52">
        <f t="shared" si="0"/>
        <v>8</v>
      </c>
      <c r="F60" s="40">
        <v>46</v>
      </c>
      <c r="G60" s="40"/>
      <c r="H60" s="40" t="s">
        <v>2322</v>
      </c>
      <c r="I60" s="40" t="s">
        <v>25</v>
      </c>
      <c r="J60" s="40"/>
      <c r="K60" s="40"/>
      <c r="L60" s="1"/>
    </row>
    <row r="61" spans="1:12" x14ac:dyDescent="0.25">
      <c r="A61" s="40"/>
      <c r="B61" s="40"/>
      <c r="C61" s="41"/>
      <c r="D61" s="41"/>
      <c r="E61" s="52">
        <f t="shared" si="0"/>
        <v>1</v>
      </c>
      <c r="F61" s="40"/>
      <c r="G61" s="40"/>
      <c r="H61" s="40"/>
      <c r="I61" s="40"/>
      <c r="J61" s="40"/>
      <c r="K61" s="40"/>
      <c r="L61" s="1"/>
    </row>
    <row r="62" spans="1:12" x14ac:dyDescent="0.25">
      <c r="A62" s="40"/>
      <c r="B62" s="40"/>
      <c r="C62" s="41"/>
      <c r="D62" s="48"/>
      <c r="E62" s="52">
        <f t="shared" si="0"/>
        <v>1</v>
      </c>
      <c r="F62" s="40"/>
      <c r="G62" s="40"/>
      <c r="H62" s="40"/>
      <c r="I62" s="40"/>
      <c r="J62" s="67"/>
      <c r="K62" s="40"/>
      <c r="L62" s="1"/>
    </row>
    <row r="63" spans="1:12" x14ac:dyDescent="0.25">
      <c r="A63" s="40"/>
      <c r="B63" s="40"/>
      <c r="C63" s="41"/>
      <c r="D63" s="48"/>
      <c r="E63" s="52">
        <f t="shared" si="0"/>
        <v>1</v>
      </c>
      <c r="F63" s="40"/>
      <c r="G63" s="40"/>
      <c r="H63" s="40"/>
      <c r="I63" s="40"/>
      <c r="J63" s="67"/>
      <c r="K63" s="40"/>
      <c r="L63" s="1"/>
    </row>
    <row r="64" spans="1:12" s="19" customFormat="1" x14ac:dyDescent="0.25">
      <c r="A64" s="40"/>
      <c r="B64" s="40"/>
      <c r="C64" s="41"/>
      <c r="D64" s="41"/>
      <c r="E64" s="52">
        <f t="shared" si="0"/>
        <v>1</v>
      </c>
      <c r="F64" s="40"/>
      <c r="G64" s="40"/>
      <c r="H64" s="40"/>
      <c r="I64" s="71"/>
      <c r="J64" s="40"/>
      <c r="K64" s="40"/>
      <c r="L64" s="18"/>
    </row>
    <row r="65" spans="1:12" x14ac:dyDescent="0.25">
      <c r="A65" s="40"/>
      <c r="B65" s="40"/>
      <c r="C65" s="41"/>
      <c r="D65" s="41"/>
      <c r="E65" s="52">
        <f t="shared" si="0"/>
        <v>1</v>
      </c>
      <c r="F65" s="40"/>
      <c r="G65" s="40"/>
      <c r="H65" s="40"/>
      <c r="I65" s="40"/>
      <c r="J65" s="40"/>
      <c r="K65" s="40"/>
      <c r="L65" s="1"/>
    </row>
    <row r="66" spans="1:12" x14ac:dyDescent="0.25">
      <c r="A66" s="40"/>
      <c r="B66" s="40"/>
      <c r="C66" s="41"/>
      <c r="D66" s="41"/>
      <c r="E66" s="52">
        <f t="shared" ref="E66:E103" si="1">D66-C66+1</f>
        <v>1</v>
      </c>
      <c r="F66" s="40"/>
      <c r="G66" s="40"/>
      <c r="H66" s="40"/>
      <c r="I66" s="40"/>
      <c r="J66" s="40"/>
      <c r="K66" s="40"/>
      <c r="L66" s="1"/>
    </row>
    <row r="67" spans="1:12" x14ac:dyDescent="0.25">
      <c r="A67" s="40"/>
      <c r="B67" s="40"/>
      <c r="C67" s="41"/>
      <c r="D67" s="41"/>
      <c r="E67" s="52">
        <f t="shared" si="1"/>
        <v>1</v>
      </c>
      <c r="F67" s="40"/>
      <c r="G67" s="40"/>
      <c r="H67" s="40"/>
      <c r="I67" s="40"/>
      <c r="J67" s="40"/>
      <c r="K67" s="40"/>
      <c r="L67" s="1"/>
    </row>
    <row r="68" spans="1:12" x14ac:dyDescent="0.25">
      <c r="A68" s="40"/>
      <c r="B68" s="40"/>
      <c r="C68" s="41"/>
      <c r="D68" s="41"/>
      <c r="E68" s="52">
        <f t="shared" si="1"/>
        <v>1</v>
      </c>
      <c r="F68" s="40"/>
      <c r="G68" s="40"/>
      <c r="H68" s="40"/>
      <c r="I68" s="40"/>
      <c r="J68" s="40"/>
      <c r="K68" s="40"/>
      <c r="L68" s="1"/>
    </row>
    <row r="69" spans="1:12" x14ac:dyDescent="0.25">
      <c r="A69" s="40"/>
      <c r="B69" s="40"/>
      <c r="C69" s="41"/>
      <c r="D69" s="48"/>
      <c r="E69" s="52">
        <f t="shared" si="1"/>
        <v>1</v>
      </c>
      <c r="F69" s="40"/>
      <c r="G69" s="40"/>
      <c r="H69" s="40"/>
      <c r="I69" s="40"/>
      <c r="J69" s="40"/>
      <c r="K69" s="40"/>
      <c r="L69" s="1"/>
    </row>
    <row r="70" spans="1:12" x14ac:dyDescent="0.25">
      <c r="A70" s="40"/>
      <c r="B70" s="40"/>
      <c r="C70" s="41"/>
      <c r="D70" s="48"/>
      <c r="E70" s="52">
        <f t="shared" si="1"/>
        <v>1</v>
      </c>
      <c r="F70" s="40"/>
      <c r="G70" s="40"/>
      <c r="H70" s="40"/>
      <c r="I70" s="40"/>
      <c r="J70" s="67"/>
      <c r="K70" s="40"/>
      <c r="L70" s="1"/>
    </row>
    <row r="71" spans="1:12" x14ac:dyDescent="0.25">
      <c r="A71" s="40"/>
      <c r="B71" s="40"/>
      <c r="C71" s="41"/>
      <c r="D71" s="41"/>
      <c r="E71" s="52">
        <f t="shared" si="1"/>
        <v>1</v>
      </c>
      <c r="F71" s="40"/>
      <c r="G71" s="40"/>
      <c r="H71" s="40"/>
      <c r="I71" s="40"/>
      <c r="J71" s="67"/>
      <c r="K71" s="40"/>
      <c r="L71" s="1"/>
    </row>
    <row r="72" spans="1:12" x14ac:dyDescent="0.25">
      <c r="A72" s="40"/>
      <c r="B72" s="40"/>
      <c r="C72" s="41"/>
      <c r="D72" s="41"/>
      <c r="E72" s="52">
        <f t="shared" si="1"/>
        <v>1</v>
      </c>
      <c r="F72" s="40"/>
      <c r="G72" s="40"/>
      <c r="H72" s="40"/>
      <c r="I72" s="40"/>
      <c r="J72" s="66"/>
      <c r="K72" s="40"/>
      <c r="L72" s="1"/>
    </row>
    <row r="73" spans="1:12" x14ac:dyDescent="0.25">
      <c r="A73" s="40"/>
      <c r="B73" s="40"/>
      <c r="C73" s="41"/>
      <c r="D73" s="48"/>
      <c r="E73" s="52">
        <f t="shared" si="1"/>
        <v>1</v>
      </c>
      <c r="F73" s="40"/>
      <c r="G73" s="40"/>
      <c r="H73" s="40"/>
      <c r="I73" s="40"/>
      <c r="J73" s="67"/>
      <c r="K73" s="40"/>
      <c r="L73" s="1"/>
    </row>
    <row r="74" spans="1:12" x14ac:dyDescent="0.25">
      <c r="A74" s="40"/>
      <c r="B74" s="40"/>
      <c r="C74" s="41"/>
      <c r="D74" s="41"/>
      <c r="E74" s="52">
        <f t="shared" si="1"/>
        <v>1</v>
      </c>
      <c r="F74" s="40"/>
      <c r="G74" s="40"/>
      <c r="H74" s="40"/>
      <c r="I74" s="40"/>
      <c r="J74" s="40"/>
      <c r="K74" s="40"/>
      <c r="L74" s="1"/>
    </row>
    <row r="75" spans="1:12" x14ac:dyDescent="0.25">
      <c r="A75" s="40"/>
      <c r="B75" s="40"/>
      <c r="C75" s="41"/>
      <c r="D75" s="48"/>
      <c r="E75" s="52">
        <f t="shared" si="1"/>
        <v>1</v>
      </c>
      <c r="F75" s="40"/>
      <c r="G75" s="40"/>
      <c r="H75" s="40"/>
      <c r="I75" s="40"/>
      <c r="J75" s="67"/>
      <c r="K75" s="40"/>
      <c r="L75" s="1"/>
    </row>
    <row r="76" spans="1:12" x14ac:dyDescent="0.25">
      <c r="A76" s="40"/>
      <c r="B76" s="40"/>
      <c r="C76" s="41"/>
      <c r="D76" s="41"/>
      <c r="E76" s="52">
        <f t="shared" si="1"/>
        <v>1</v>
      </c>
      <c r="F76" s="40"/>
      <c r="G76" s="40"/>
      <c r="H76" s="40"/>
      <c r="I76" s="40"/>
      <c r="J76" s="40"/>
      <c r="K76" s="40"/>
      <c r="L76" s="1"/>
    </row>
    <row r="77" spans="1:12" x14ac:dyDescent="0.25">
      <c r="A77" s="40"/>
      <c r="B77" s="40"/>
      <c r="C77" s="41"/>
      <c r="D77" s="41"/>
      <c r="E77" s="52">
        <f t="shared" si="1"/>
        <v>1</v>
      </c>
      <c r="F77" s="40"/>
      <c r="G77" s="40"/>
      <c r="H77" s="40"/>
      <c r="I77" s="40"/>
      <c r="J77" s="40"/>
      <c r="K77" s="40"/>
      <c r="L77" s="1"/>
    </row>
    <row r="78" spans="1:12" x14ac:dyDescent="0.25">
      <c r="A78" s="40"/>
      <c r="B78" s="40"/>
      <c r="C78" s="41"/>
      <c r="D78" s="41"/>
      <c r="E78" s="52">
        <f t="shared" si="1"/>
        <v>1</v>
      </c>
      <c r="F78" s="40"/>
      <c r="G78" s="40"/>
      <c r="H78" s="40"/>
      <c r="I78" s="40"/>
      <c r="J78" s="40"/>
      <c r="K78" s="40"/>
      <c r="L78" s="1"/>
    </row>
    <row r="79" spans="1:12" x14ac:dyDescent="0.25">
      <c r="A79" s="40"/>
      <c r="B79" s="40"/>
      <c r="C79" s="41"/>
      <c r="D79" s="41"/>
      <c r="E79" s="52">
        <f t="shared" si="1"/>
        <v>1</v>
      </c>
      <c r="F79" s="40"/>
      <c r="G79" s="40"/>
      <c r="H79" s="40"/>
      <c r="I79" s="40"/>
      <c r="J79" s="40"/>
      <c r="K79" s="40"/>
      <c r="L79" s="1"/>
    </row>
    <row r="80" spans="1:12" x14ac:dyDescent="0.25">
      <c r="A80" s="40"/>
      <c r="B80" s="40"/>
      <c r="C80" s="41"/>
      <c r="D80" s="41"/>
      <c r="E80" s="52">
        <f t="shared" si="1"/>
        <v>1</v>
      </c>
      <c r="F80" s="40"/>
      <c r="G80" s="40"/>
      <c r="H80" s="40"/>
      <c r="I80" s="40"/>
      <c r="J80" s="40"/>
      <c r="K80" s="40"/>
      <c r="L80" s="1"/>
    </row>
    <row r="81" spans="1:12" x14ac:dyDescent="0.25">
      <c r="A81" s="40"/>
      <c r="B81" s="40"/>
      <c r="C81" s="41"/>
      <c r="D81" s="41"/>
      <c r="E81" s="52">
        <f t="shared" si="1"/>
        <v>1</v>
      </c>
      <c r="F81" s="40"/>
      <c r="G81" s="40"/>
      <c r="H81" s="40"/>
      <c r="I81" s="40"/>
      <c r="J81" s="40"/>
      <c r="K81" s="40"/>
      <c r="L81" s="1"/>
    </row>
    <row r="82" spans="1:12" s="19" customFormat="1" x14ac:dyDescent="0.25">
      <c r="A82" s="40"/>
      <c r="B82" s="40"/>
      <c r="C82" s="41"/>
      <c r="D82" s="41"/>
      <c r="E82" s="52">
        <f t="shared" si="1"/>
        <v>1</v>
      </c>
      <c r="F82" s="40"/>
      <c r="G82" s="40"/>
      <c r="H82" s="40"/>
      <c r="I82" s="71"/>
      <c r="J82" s="40"/>
      <c r="K82" s="40"/>
      <c r="L82" s="18"/>
    </row>
    <row r="83" spans="1:12" x14ac:dyDescent="0.25">
      <c r="A83" s="40"/>
      <c r="B83" s="40"/>
      <c r="C83" s="41"/>
      <c r="D83" s="48"/>
      <c r="E83" s="52">
        <f t="shared" si="1"/>
        <v>1</v>
      </c>
      <c r="F83" s="40"/>
      <c r="G83" s="40"/>
      <c r="H83" s="40"/>
      <c r="I83" s="132"/>
      <c r="J83" s="67"/>
      <c r="K83" s="40"/>
      <c r="L83" s="1"/>
    </row>
    <row r="84" spans="1:12" x14ac:dyDescent="0.25">
      <c r="A84" s="40"/>
      <c r="B84" s="40"/>
      <c r="C84" s="41"/>
      <c r="D84" s="41"/>
      <c r="E84" s="52">
        <f t="shared" si="1"/>
        <v>1</v>
      </c>
      <c r="F84" s="40"/>
      <c r="G84" s="40"/>
      <c r="H84" s="40"/>
      <c r="I84" s="40"/>
      <c r="J84" s="40"/>
      <c r="K84" s="40"/>
      <c r="L84" s="1"/>
    </row>
    <row r="85" spans="1:12" x14ac:dyDescent="0.25">
      <c r="A85" s="40"/>
      <c r="B85" s="40"/>
      <c r="C85" s="41"/>
      <c r="D85" s="41"/>
      <c r="E85" s="52">
        <f t="shared" si="1"/>
        <v>1</v>
      </c>
      <c r="F85" s="40"/>
      <c r="G85" s="40"/>
      <c r="H85" s="40"/>
      <c r="I85" s="40"/>
      <c r="J85" s="40"/>
      <c r="K85" s="40"/>
      <c r="L85" s="1"/>
    </row>
    <row r="86" spans="1:12" x14ac:dyDescent="0.25">
      <c r="A86" s="40"/>
      <c r="B86" s="40"/>
      <c r="C86" s="41"/>
      <c r="D86" s="41"/>
      <c r="E86" s="52">
        <f t="shared" si="1"/>
        <v>1</v>
      </c>
      <c r="F86" s="40"/>
      <c r="G86" s="40"/>
      <c r="H86" s="40"/>
      <c r="I86" s="40"/>
      <c r="J86" s="40"/>
      <c r="K86" s="40"/>
      <c r="L86" s="1"/>
    </row>
    <row r="87" spans="1:12" x14ac:dyDescent="0.25">
      <c r="A87" s="40"/>
      <c r="B87" s="40"/>
      <c r="C87" s="41"/>
      <c r="D87" s="41"/>
      <c r="E87" s="52">
        <f t="shared" si="1"/>
        <v>1</v>
      </c>
      <c r="F87" s="40"/>
      <c r="G87" s="40"/>
      <c r="H87" s="40"/>
      <c r="I87" s="40"/>
      <c r="J87" s="40"/>
      <c r="K87" s="40"/>
      <c r="L87" s="1"/>
    </row>
    <row r="88" spans="1:12" x14ac:dyDescent="0.25">
      <c r="A88" s="40"/>
      <c r="B88" s="40"/>
      <c r="C88" s="41"/>
      <c r="D88" s="41"/>
      <c r="E88" s="52">
        <f t="shared" si="1"/>
        <v>1</v>
      </c>
      <c r="F88" s="40"/>
      <c r="G88" s="40"/>
      <c r="H88" s="40"/>
      <c r="I88" s="40"/>
      <c r="J88" s="40"/>
      <c r="K88" s="40"/>
      <c r="L88" s="1"/>
    </row>
    <row r="89" spans="1:12" x14ac:dyDescent="0.25">
      <c r="A89" s="40"/>
      <c r="B89" s="40"/>
      <c r="C89" s="41"/>
      <c r="D89" s="48"/>
      <c r="E89" s="52">
        <f t="shared" si="1"/>
        <v>1</v>
      </c>
      <c r="F89" s="40"/>
      <c r="G89" s="40"/>
      <c r="H89" s="40"/>
      <c r="I89" s="40"/>
      <c r="J89" s="67"/>
      <c r="K89" s="40"/>
      <c r="L89" s="1"/>
    </row>
    <row r="90" spans="1:12" s="19" customFormat="1" x14ac:dyDescent="0.25">
      <c r="A90" s="40"/>
      <c r="B90" s="40"/>
      <c r="C90" s="41"/>
      <c r="D90" s="41"/>
      <c r="E90" s="52">
        <f t="shared" si="1"/>
        <v>1</v>
      </c>
      <c r="F90" s="40"/>
      <c r="G90" s="40"/>
      <c r="H90" s="40"/>
      <c r="I90" s="71"/>
      <c r="J90" s="40"/>
      <c r="K90" s="40"/>
      <c r="L90" s="18"/>
    </row>
    <row r="91" spans="1:12" x14ac:dyDescent="0.25">
      <c r="A91" s="40"/>
      <c r="B91" s="40"/>
      <c r="C91" s="41"/>
      <c r="D91" s="41"/>
      <c r="E91" s="52">
        <f t="shared" si="1"/>
        <v>1</v>
      </c>
      <c r="F91" s="40"/>
      <c r="G91" s="40"/>
      <c r="H91" s="40"/>
      <c r="I91" s="40"/>
      <c r="J91" s="40"/>
      <c r="K91" s="40"/>
      <c r="L91" s="1"/>
    </row>
    <row r="92" spans="1:12" x14ac:dyDescent="0.25">
      <c r="A92" s="40"/>
      <c r="B92" s="40"/>
      <c r="C92" s="41"/>
      <c r="D92" s="41"/>
      <c r="E92" s="52">
        <f t="shared" si="1"/>
        <v>1</v>
      </c>
      <c r="F92" s="40"/>
      <c r="G92" s="40"/>
      <c r="H92" s="40"/>
      <c r="I92" s="71"/>
      <c r="J92" s="40"/>
      <c r="K92" s="40"/>
      <c r="L92" s="1"/>
    </row>
    <row r="93" spans="1:12" x14ac:dyDescent="0.25">
      <c r="A93" s="40"/>
      <c r="B93" s="40"/>
      <c r="C93" s="41"/>
      <c r="D93" s="41"/>
      <c r="E93" s="52">
        <f t="shared" si="1"/>
        <v>1</v>
      </c>
      <c r="F93" s="40"/>
      <c r="G93" s="40"/>
      <c r="H93" s="40"/>
      <c r="I93" s="40"/>
      <c r="J93" s="71"/>
      <c r="K93" s="40"/>
      <c r="L93" s="1"/>
    </row>
    <row r="94" spans="1:12" s="19" customFormat="1" x14ac:dyDescent="0.25">
      <c r="A94" s="40"/>
      <c r="B94" s="40"/>
      <c r="C94" s="41"/>
      <c r="D94" s="41"/>
      <c r="E94" s="52">
        <f t="shared" si="1"/>
        <v>1</v>
      </c>
      <c r="F94" s="40"/>
      <c r="G94" s="40"/>
      <c r="H94" s="40"/>
      <c r="I94" s="71"/>
      <c r="J94" s="40"/>
      <c r="K94" s="40"/>
      <c r="L94" s="18"/>
    </row>
    <row r="95" spans="1:12" x14ac:dyDescent="0.25">
      <c r="A95" s="40"/>
      <c r="B95" s="40"/>
      <c r="C95" s="41"/>
      <c r="D95" s="41"/>
      <c r="E95" s="52">
        <f t="shared" si="1"/>
        <v>1</v>
      </c>
      <c r="F95" s="40"/>
      <c r="G95" s="40"/>
      <c r="H95" s="40"/>
      <c r="I95" s="40"/>
      <c r="J95" s="40"/>
      <c r="K95" s="40"/>
      <c r="L95" s="1"/>
    </row>
    <row r="96" spans="1:12" x14ac:dyDescent="0.25">
      <c r="A96" s="40"/>
      <c r="B96" s="40"/>
      <c r="C96" s="41"/>
      <c r="D96" s="41"/>
      <c r="E96" s="52">
        <f t="shared" si="1"/>
        <v>1</v>
      </c>
      <c r="F96" s="40"/>
      <c r="G96" s="40"/>
      <c r="H96" s="40"/>
      <c r="I96" s="40"/>
      <c r="J96" s="40"/>
      <c r="K96" s="40"/>
      <c r="L96" s="1"/>
    </row>
    <row r="97" spans="1:12" x14ac:dyDescent="0.25">
      <c r="A97" s="40"/>
      <c r="B97" s="40"/>
      <c r="C97" s="41"/>
      <c r="D97" s="41"/>
      <c r="E97" s="52">
        <f t="shared" si="1"/>
        <v>1</v>
      </c>
      <c r="F97" s="40"/>
      <c r="G97" s="40"/>
      <c r="H97" s="40"/>
      <c r="I97" s="40"/>
      <c r="J97" s="40"/>
      <c r="K97" s="40"/>
      <c r="L97" s="1"/>
    </row>
    <row r="98" spans="1:12" s="51" customFormat="1" x14ac:dyDescent="0.25">
      <c r="A98" s="40"/>
      <c r="B98" s="40"/>
      <c r="C98" s="41"/>
      <c r="D98" s="41"/>
      <c r="E98" s="52">
        <f t="shared" si="1"/>
        <v>1</v>
      </c>
      <c r="F98" s="40"/>
      <c r="G98" s="40"/>
      <c r="H98" s="40"/>
      <c r="I98" s="66"/>
      <c r="J98" s="40"/>
      <c r="K98" s="40"/>
      <c r="L98" s="50"/>
    </row>
    <row r="99" spans="1:12" x14ac:dyDescent="0.25">
      <c r="A99" s="40"/>
      <c r="B99" s="40"/>
      <c r="C99" s="41"/>
      <c r="D99" s="41"/>
      <c r="E99" s="52">
        <f t="shared" si="1"/>
        <v>1</v>
      </c>
      <c r="F99" s="40"/>
      <c r="G99" s="40"/>
      <c r="H99" s="40"/>
      <c r="I99" s="40"/>
      <c r="J99" s="40"/>
      <c r="K99" s="40"/>
      <c r="L99" s="1"/>
    </row>
    <row r="100" spans="1:12" x14ac:dyDescent="0.25">
      <c r="A100" s="40"/>
      <c r="B100" s="40"/>
      <c r="C100" s="41"/>
      <c r="D100" s="41"/>
      <c r="E100" s="52">
        <f t="shared" si="1"/>
        <v>1</v>
      </c>
      <c r="F100" s="40"/>
      <c r="G100" s="40"/>
      <c r="H100" s="40"/>
      <c r="I100" s="40"/>
      <c r="J100" s="40"/>
      <c r="K100" s="40"/>
      <c r="L100" s="1"/>
    </row>
    <row r="101" spans="1:12" x14ac:dyDescent="0.25">
      <c r="A101" s="40"/>
      <c r="B101" s="40"/>
      <c r="C101" s="41"/>
      <c r="D101" s="41"/>
      <c r="E101" s="52">
        <f t="shared" si="1"/>
        <v>1</v>
      </c>
      <c r="F101" s="40"/>
      <c r="G101" s="40"/>
      <c r="H101" s="40"/>
      <c r="I101" s="40"/>
      <c r="J101" s="40"/>
      <c r="K101" s="40"/>
      <c r="L101" s="1"/>
    </row>
    <row r="102" spans="1:12" x14ac:dyDescent="0.25">
      <c r="A102" s="40"/>
      <c r="B102" s="40"/>
      <c r="C102" s="41"/>
      <c r="D102" s="48"/>
      <c r="E102" s="52">
        <f t="shared" si="1"/>
        <v>1</v>
      </c>
      <c r="F102" s="40"/>
      <c r="G102" s="40"/>
      <c r="H102" s="40"/>
      <c r="I102" s="40"/>
      <c r="J102" s="67"/>
      <c r="K102" s="40"/>
      <c r="L102" s="1"/>
    </row>
    <row r="103" spans="1:12" x14ac:dyDescent="0.25">
      <c r="A103" s="40"/>
      <c r="B103" s="40"/>
      <c r="C103" s="41"/>
      <c r="D103" s="41"/>
      <c r="E103" s="52">
        <f t="shared" si="1"/>
        <v>1</v>
      </c>
      <c r="F103" s="40"/>
      <c r="G103" s="40"/>
      <c r="H103" s="40"/>
      <c r="I103" s="40"/>
      <c r="J103" s="40"/>
      <c r="K103" s="40"/>
      <c r="L103" s="1"/>
    </row>
    <row r="104" spans="1:12" x14ac:dyDescent="0.25">
      <c r="A104" s="40"/>
      <c r="B104" s="40"/>
      <c r="C104" s="41"/>
      <c r="D104" s="41"/>
      <c r="E104" s="40"/>
      <c r="F104" s="40"/>
      <c r="G104" s="40"/>
      <c r="H104" s="40"/>
      <c r="I104" s="40"/>
      <c r="J104" s="40"/>
      <c r="K104" s="40"/>
      <c r="L104" s="1"/>
    </row>
    <row r="105" spans="1:12" x14ac:dyDescent="0.25">
      <c r="A105" s="40"/>
      <c r="B105" s="40"/>
      <c r="C105" s="41"/>
      <c r="D105" s="41"/>
      <c r="E105" s="40"/>
      <c r="F105" s="40"/>
      <c r="G105" s="40"/>
      <c r="H105" s="40"/>
      <c r="I105" s="40"/>
      <c r="J105" s="40"/>
      <c r="K105" s="40"/>
      <c r="L105" s="1"/>
    </row>
    <row r="106" spans="1:12" x14ac:dyDescent="0.25">
      <c r="A106" s="40"/>
      <c r="B106" s="40"/>
      <c r="C106" s="41"/>
      <c r="D106" s="41"/>
      <c r="E106" s="40"/>
      <c r="F106" s="40"/>
      <c r="G106" s="40"/>
      <c r="H106" s="40"/>
      <c r="I106" s="40"/>
      <c r="J106" s="40"/>
      <c r="K106" s="40"/>
      <c r="L106" s="1"/>
    </row>
    <row r="107" spans="1:12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1"/>
    </row>
    <row r="108" spans="1:12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1"/>
    </row>
    <row r="109" spans="1:12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1"/>
    </row>
    <row r="110" spans="1:12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1"/>
    </row>
    <row r="111" spans="1:12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1"/>
    </row>
    <row r="112" spans="1:12" x14ac:dyDescent="0.25">
      <c r="A112" s="40"/>
      <c r="B112" s="40"/>
      <c r="C112" s="41"/>
      <c r="D112" s="40"/>
      <c r="E112" s="40"/>
      <c r="F112" s="40"/>
      <c r="G112" s="40"/>
      <c r="H112" s="40"/>
      <c r="I112" s="40"/>
      <c r="J112" s="40"/>
      <c r="K112" s="40"/>
      <c r="L112" s="1"/>
    </row>
    <row r="113" spans="1:12" x14ac:dyDescent="0.25">
      <c r="A113" s="40"/>
      <c r="B113" s="40"/>
      <c r="C113" s="41"/>
      <c r="D113" s="40"/>
      <c r="E113" s="40"/>
      <c r="F113" s="40"/>
      <c r="G113" s="40"/>
      <c r="H113" s="40"/>
      <c r="I113" s="40"/>
      <c r="J113" s="40"/>
      <c r="K113" s="40"/>
      <c r="L113" s="1"/>
    </row>
    <row r="114" spans="1:12" x14ac:dyDescent="0.25">
      <c r="A114" s="40"/>
      <c r="B114" s="40"/>
      <c r="C114" s="41"/>
      <c r="D114" s="40"/>
      <c r="E114" s="40"/>
      <c r="F114" s="40"/>
      <c r="G114" s="40"/>
      <c r="H114" s="40"/>
      <c r="I114" s="40"/>
      <c r="J114" s="40"/>
      <c r="K114" s="40"/>
      <c r="L114" s="1"/>
    </row>
    <row r="115" spans="1:12" x14ac:dyDescent="0.25">
      <c r="A115" s="40"/>
      <c r="B115" s="40"/>
      <c r="C115" s="41"/>
      <c r="D115" s="40"/>
      <c r="E115" s="40"/>
      <c r="F115" s="40"/>
      <c r="G115" s="40"/>
      <c r="H115" s="40"/>
      <c r="I115" s="40"/>
      <c r="J115" s="40"/>
      <c r="K115" s="40"/>
      <c r="L115" s="1"/>
    </row>
    <row r="116" spans="1:12" x14ac:dyDescent="0.25">
      <c r="A116" s="40"/>
      <c r="B116" s="40"/>
      <c r="C116" s="41"/>
      <c r="D116" s="40"/>
      <c r="E116" s="40"/>
      <c r="F116" s="40"/>
      <c r="G116" s="40"/>
      <c r="H116" s="40"/>
      <c r="I116" s="40"/>
      <c r="J116" s="40"/>
      <c r="K116" s="40"/>
      <c r="L116" s="1"/>
    </row>
    <row r="117" spans="1:12" x14ac:dyDescent="0.25">
      <c r="A117" s="40"/>
      <c r="B117" s="40"/>
      <c r="C117" s="41"/>
      <c r="D117" s="40"/>
      <c r="E117" s="40"/>
      <c r="F117" s="40"/>
      <c r="G117" s="40"/>
      <c r="H117" s="40"/>
      <c r="I117" s="40"/>
      <c r="J117" s="40"/>
      <c r="K117" s="40"/>
      <c r="L117" s="1"/>
    </row>
    <row r="118" spans="1:12" x14ac:dyDescent="0.25">
      <c r="A118" s="40"/>
      <c r="B118" s="40"/>
      <c r="C118" s="41"/>
      <c r="D118" s="40"/>
      <c r="E118" s="40"/>
      <c r="F118" s="40"/>
      <c r="G118" s="40"/>
      <c r="H118" s="40"/>
      <c r="I118" s="40"/>
      <c r="J118" s="40"/>
      <c r="K118" s="40"/>
      <c r="L118" s="1"/>
    </row>
    <row r="119" spans="1:12" x14ac:dyDescent="0.25">
      <c r="A119" s="40"/>
      <c r="B119" s="40"/>
      <c r="C119" s="41"/>
      <c r="D119" s="40"/>
      <c r="E119" s="40"/>
      <c r="F119" s="40"/>
      <c r="G119" s="40"/>
      <c r="H119" s="40"/>
      <c r="I119" s="40"/>
      <c r="J119" s="40"/>
      <c r="K119" s="40"/>
      <c r="L119" s="1"/>
    </row>
    <row r="120" spans="1:12" x14ac:dyDescent="0.25">
      <c r="A120" s="40"/>
      <c r="B120" s="40"/>
      <c r="C120" s="41"/>
      <c r="D120" s="40"/>
      <c r="E120" s="40"/>
      <c r="F120" s="40"/>
      <c r="G120" s="40"/>
      <c r="H120" s="40"/>
      <c r="I120" s="40"/>
      <c r="J120" s="40"/>
      <c r="K120" s="40"/>
      <c r="L120" s="1"/>
    </row>
    <row r="121" spans="1:12" x14ac:dyDescent="0.25">
      <c r="A121" s="40"/>
      <c r="B121" s="40"/>
      <c r="C121" s="41"/>
      <c r="D121" s="40"/>
      <c r="E121" s="40"/>
      <c r="F121" s="40"/>
      <c r="G121" s="40"/>
      <c r="H121" s="40"/>
      <c r="I121" s="40"/>
      <c r="J121" s="40"/>
      <c r="K121" s="40"/>
      <c r="L121" s="1"/>
    </row>
    <row r="122" spans="1:12" x14ac:dyDescent="0.25">
      <c r="A122" s="40"/>
      <c r="B122" s="40"/>
      <c r="C122" s="41"/>
      <c r="D122" s="40"/>
      <c r="E122" s="40"/>
      <c r="F122" s="40"/>
      <c r="G122" s="40"/>
      <c r="H122" s="40"/>
      <c r="I122" s="40"/>
      <c r="J122" s="40"/>
      <c r="K122" s="40"/>
      <c r="L122" s="1"/>
    </row>
    <row r="123" spans="1:12" x14ac:dyDescent="0.25">
      <c r="A123" s="40"/>
      <c r="B123" s="40"/>
      <c r="C123" s="41"/>
      <c r="D123" s="40"/>
      <c r="E123" s="40"/>
      <c r="F123" s="40"/>
      <c r="G123" s="40"/>
      <c r="H123" s="40"/>
      <c r="I123" s="40"/>
      <c r="J123" s="40"/>
      <c r="K123" s="40"/>
      <c r="L123" s="1"/>
    </row>
    <row r="124" spans="1:12" x14ac:dyDescent="0.25">
      <c r="A124" s="40"/>
      <c r="B124" s="40"/>
      <c r="C124" s="41"/>
      <c r="D124" s="40"/>
      <c r="E124" s="40"/>
      <c r="F124" s="40"/>
      <c r="G124" s="40"/>
      <c r="H124" s="40"/>
      <c r="I124" s="40"/>
      <c r="J124" s="40"/>
      <c r="K124" s="40"/>
      <c r="L124" s="1"/>
    </row>
    <row r="125" spans="1:12" x14ac:dyDescent="0.25">
      <c r="A125" s="40"/>
      <c r="B125" s="40"/>
      <c r="C125" s="41"/>
      <c r="D125" s="40"/>
      <c r="E125" s="40"/>
      <c r="F125" s="40"/>
      <c r="G125" s="40"/>
      <c r="H125" s="40"/>
      <c r="I125" s="40"/>
      <c r="J125" s="40"/>
      <c r="K125" s="40"/>
      <c r="L125" s="1"/>
    </row>
    <row r="126" spans="1:12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topLeftCell="A4" workbookViewId="0">
      <selection activeCell="B14" sqref="B14"/>
    </sheetView>
  </sheetViews>
  <sheetFormatPr baseColWidth="10" defaultRowHeight="15" x14ac:dyDescent="0.25"/>
  <cols>
    <col min="5" max="5" width="14.85546875" customWidth="1"/>
  </cols>
  <sheetData>
    <row r="1" spans="1:12" x14ac:dyDescent="0.25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3" t="s">
        <v>0</v>
      </c>
    </row>
    <row r="2" spans="1:12" x14ac:dyDescent="0.25">
      <c r="A2" s="1"/>
      <c r="B2" s="1"/>
      <c r="C2" s="4"/>
      <c r="D2" s="4"/>
      <c r="E2" s="1">
        <v>0</v>
      </c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4"/>
      <c r="D3" s="1"/>
      <c r="E3" s="1">
        <f t="shared" ref="E3:E66" si="0">D3-C3</f>
        <v>0</v>
      </c>
      <c r="F3" s="1"/>
      <c r="G3" s="1"/>
      <c r="H3" s="1"/>
      <c r="I3" s="1"/>
      <c r="J3" s="1"/>
      <c r="K3" s="1"/>
      <c r="L3" s="1"/>
    </row>
    <row r="4" spans="1:12" x14ac:dyDescent="0.25">
      <c r="A4" s="5"/>
      <c r="B4" s="1"/>
      <c r="C4" s="4"/>
      <c r="D4" s="4"/>
      <c r="E4" s="1">
        <f t="shared" si="0"/>
        <v>0</v>
      </c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4"/>
      <c r="D5" s="1"/>
      <c r="E5" s="1">
        <f t="shared" si="0"/>
        <v>0</v>
      </c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4"/>
      <c r="D6" s="4"/>
      <c r="E6" s="1">
        <f t="shared" si="0"/>
        <v>0</v>
      </c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4"/>
      <c r="D7" s="1"/>
      <c r="E7" s="1">
        <v>0</v>
      </c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>
        <f t="shared" si="0"/>
        <v>0</v>
      </c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>
        <f t="shared" si="0"/>
        <v>0</v>
      </c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4"/>
      <c r="E10" s="1">
        <f t="shared" si="0"/>
        <v>0</v>
      </c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>
        <v>0</v>
      </c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>
        <f t="shared" si="0"/>
        <v>0</v>
      </c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>
        <f t="shared" si="0"/>
        <v>0</v>
      </c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>
        <f t="shared" si="0"/>
        <v>0</v>
      </c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>
        <f t="shared" si="0"/>
        <v>0</v>
      </c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>
        <f t="shared" si="0"/>
        <v>0</v>
      </c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>
        <f t="shared" si="0"/>
        <v>0</v>
      </c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>
        <f t="shared" si="0"/>
        <v>0</v>
      </c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>
        <f t="shared" si="0"/>
        <v>0</v>
      </c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>
        <f t="shared" si="0"/>
        <v>0</v>
      </c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>
        <f t="shared" si="0"/>
        <v>0</v>
      </c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>
        <f t="shared" si="0"/>
        <v>0</v>
      </c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>
        <f t="shared" si="0"/>
        <v>0</v>
      </c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>
        <f t="shared" si="0"/>
        <v>0</v>
      </c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>
        <f t="shared" si="0"/>
        <v>0</v>
      </c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>
        <f t="shared" si="0"/>
        <v>0</v>
      </c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>
        <f t="shared" si="0"/>
        <v>0</v>
      </c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>
        <f t="shared" si="0"/>
        <v>0</v>
      </c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>
        <f t="shared" si="0"/>
        <v>0</v>
      </c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>
        <f t="shared" si="0"/>
        <v>0</v>
      </c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>
        <f t="shared" si="0"/>
        <v>0</v>
      </c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>
        <f t="shared" si="0"/>
        <v>0</v>
      </c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>
        <f t="shared" si="0"/>
        <v>0</v>
      </c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>
        <f t="shared" si="0"/>
        <v>0</v>
      </c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>
        <f t="shared" si="0"/>
        <v>0</v>
      </c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>
        <f t="shared" si="0"/>
        <v>0</v>
      </c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>
        <f t="shared" si="0"/>
        <v>0</v>
      </c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>
        <f t="shared" si="0"/>
        <v>0</v>
      </c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>
        <f t="shared" si="0"/>
        <v>0</v>
      </c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>
        <f t="shared" si="0"/>
        <v>0</v>
      </c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>
        <f t="shared" si="0"/>
        <v>0</v>
      </c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>
        <f t="shared" si="0"/>
        <v>0</v>
      </c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>
        <f t="shared" si="0"/>
        <v>0</v>
      </c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>
        <f t="shared" si="0"/>
        <v>0</v>
      </c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>
        <f t="shared" si="0"/>
        <v>0</v>
      </c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4">
        <v>41241</v>
      </c>
      <c r="E46" s="1">
        <f t="shared" si="0"/>
        <v>41241</v>
      </c>
      <c r="F46" s="1"/>
      <c r="G46" s="1"/>
      <c r="H46" s="1"/>
      <c r="I46" s="1" t="s">
        <v>26</v>
      </c>
      <c r="J46" s="1"/>
      <c r="K46" s="1"/>
      <c r="L46" s="1"/>
    </row>
    <row r="47" spans="1:12" x14ac:dyDescent="0.25">
      <c r="A47" s="1"/>
      <c r="B47" s="1"/>
      <c r="C47" s="1"/>
      <c r="D47" s="1"/>
      <c r="E47" s="1">
        <f t="shared" si="0"/>
        <v>0</v>
      </c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>
        <f t="shared" si="0"/>
        <v>0</v>
      </c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>
        <f t="shared" si="0"/>
        <v>0</v>
      </c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>
        <f t="shared" si="0"/>
        <v>0</v>
      </c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>
        <f t="shared" si="0"/>
        <v>0</v>
      </c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>
        <f t="shared" si="0"/>
        <v>0</v>
      </c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>
        <f t="shared" si="0"/>
        <v>0</v>
      </c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>
        <f t="shared" si="0"/>
        <v>0</v>
      </c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>
        <f t="shared" si="0"/>
        <v>0</v>
      </c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>
        <f t="shared" si="0"/>
        <v>0</v>
      </c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>
        <f t="shared" si="0"/>
        <v>0</v>
      </c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4">
        <v>41242</v>
      </c>
      <c r="E58" s="1">
        <f t="shared" si="0"/>
        <v>41242</v>
      </c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>
        <f t="shared" si="0"/>
        <v>0</v>
      </c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>
        <f t="shared" si="0"/>
        <v>0</v>
      </c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>
        <f t="shared" si="0"/>
        <v>0</v>
      </c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>
        <f t="shared" si="0"/>
        <v>0</v>
      </c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>
        <f t="shared" si="0"/>
        <v>0</v>
      </c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>
        <f t="shared" si="0"/>
        <v>0</v>
      </c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>
        <f t="shared" si="0"/>
        <v>0</v>
      </c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>
        <f t="shared" si="0"/>
        <v>0</v>
      </c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>
        <f t="shared" ref="E67:E116" si="1">D67-C67</f>
        <v>0</v>
      </c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>
        <f t="shared" si="1"/>
        <v>0</v>
      </c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>
        <f t="shared" si="1"/>
        <v>0</v>
      </c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>
        <f t="shared" si="1"/>
        <v>0</v>
      </c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>
        <f t="shared" si="1"/>
        <v>0</v>
      </c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4">
        <v>41240</v>
      </c>
      <c r="E72" s="1">
        <f t="shared" si="1"/>
        <v>41240</v>
      </c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>
        <f t="shared" si="1"/>
        <v>0</v>
      </c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>
        <f t="shared" si="1"/>
        <v>0</v>
      </c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>
        <f t="shared" si="1"/>
        <v>0</v>
      </c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>
        <f t="shared" si="1"/>
        <v>0</v>
      </c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>
        <f t="shared" si="1"/>
        <v>0</v>
      </c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4">
        <v>41240</v>
      </c>
      <c r="E78" s="1">
        <f t="shared" si="1"/>
        <v>41240</v>
      </c>
      <c r="F78" s="1"/>
      <c r="G78" s="1"/>
      <c r="H78" s="1"/>
      <c r="I78" s="1" t="s">
        <v>34</v>
      </c>
      <c r="J78" s="1"/>
      <c r="K78" s="1"/>
      <c r="L78" s="1"/>
    </row>
    <row r="79" spans="1:12" x14ac:dyDescent="0.25">
      <c r="A79" s="1"/>
      <c r="B79" s="1"/>
      <c r="C79" s="1"/>
      <c r="D79" s="4">
        <v>41240</v>
      </c>
      <c r="E79" s="1">
        <f t="shared" si="1"/>
        <v>41240</v>
      </c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>
        <f t="shared" si="1"/>
        <v>0</v>
      </c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>
        <f t="shared" si="1"/>
        <v>0</v>
      </c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1"/>
      <c r="E82" s="1">
        <f t="shared" si="1"/>
        <v>0</v>
      </c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/>
      <c r="E83" s="1">
        <f t="shared" si="1"/>
        <v>0</v>
      </c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1">
        <f t="shared" si="1"/>
        <v>0</v>
      </c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1">
        <f t="shared" si="1"/>
        <v>0</v>
      </c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>
        <f t="shared" si="1"/>
        <v>0</v>
      </c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1">
        <f t="shared" si="1"/>
        <v>0</v>
      </c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1">
        <f t="shared" si="1"/>
        <v>0</v>
      </c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4">
        <v>41241</v>
      </c>
      <c r="E89" s="1">
        <f t="shared" si="1"/>
        <v>41241</v>
      </c>
      <c r="F89" s="1"/>
      <c r="G89" s="1"/>
      <c r="H89" s="1"/>
      <c r="I89" s="1" t="s">
        <v>26</v>
      </c>
      <c r="J89" s="1"/>
      <c r="K89" s="1"/>
      <c r="L89" s="1"/>
    </row>
    <row r="90" spans="1:12" x14ac:dyDescent="0.25">
      <c r="A90" s="1"/>
      <c r="B90" s="1"/>
      <c r="C90" s="1"/>
      <c r="D90" s="1"/>
      <c r="E90" s="1">
        <f t="shared" si="1"/>
        <v>0</v>
      </c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>
        <f t="shared" si="1"/>
        <v>0</v>
      </c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4">
        <v>41241</v>
      </c>
      <c r="E92" s="1">
        <f t="shared" si="1"/>
        <v>41241</v>
      </c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>
        <f t="shared" si="1"/>
        <v>0</v>
      </c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>
        <f t="shared" si="1"/>
        <v>0</v>
      </c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>
        <f t="shared" si="1"/>
        <v>0</v>
      </c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>
        <f t="shared" si="1"/>
        <v>0</v>
      </c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>
        <v>41242</v>
      </c>
      <c r="E97" s="1">
        <f t="shared" si="1"/>
        <v>41242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>
        <f t="shared" si="1"/>
        <v>0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>
        <v>41240</v>
      </c>
      <c r="E99" s="1">
        <f t="shared" si="1"/>
        <v>41240</v>
      </c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>
        <f t="shared" si="1"/>
        <v>0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>
        <f t="shared" si="1"/>
        <v>0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>
        <f t="shared" si="1"/>
        <v>0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>
        <f t="shared" si="1"/>
        <v>0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>
        <f t="shared" si="1"/>
        <v>0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>
        <f t="shared" si="1"/>
        <v>0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>
        <f t="shared" si="1"/>
        <v>0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>
        <f t="shared" si="1"/>
        <v>0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>
        <f t="shared" si="1"/>
        <v>0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>
        <f t="shared" si="1"/>
        <v>0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>
        <f t="shared" si="1"/>
        <v>0</v>
      </c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>
        <f t="shared" si="1"/>
        <v>0</v>
      </c>
      <c r="F111" s="1"/>
      <c r="G111" s="1"/>
      <c r="H111" s="1"/>
      <c r="I111" s="1"/>
      <c r="J111" s="1"/>
      <c r="K111" s="1"/>
      <c r="L111" s="1"/>
    </row>
    <row r="112" spans="1:12" x14ac:dyDescent="0.25">
      <c r="A112" s="1" t="s">
        <v>61</v>
      </c>
      <c r="B112" s="1" t="s">
        <v>62</v>
      </c>
      <c r="C112" s="4">
        <v>41239</v>
      </c>
      <c r="D112" s="1"/>
      <c r="E112" s="1">
        <f t="shared" si="1"/>
        <v>-41239</v>
      </c>
      <c r="F112" s="1">
        <v>77</v>
      </c>
      <c r="G112" s="1" t="s">
        <v>14</v>
      </c>
      <c r="H112" s="1" t="s">
        <v>39</v>
      </c>
      <c r="I112" s="1" t="s">
        <v>63</v>
      </c>
      <c r="J112" s="1"/>
      <c r="K112" s="1"/>
      <c r="L112" s="1"/>
    </row>
    <row r="113" spans="1:12" x14ac:dyDescent="0.25">
      <c r="A113" s="1" t="s">
        <v>64</v>
      </c>
      <c r="B113" s="1" t="s">
        <v>65</v>
      </c>
      <c r="C113" s="4">
        <v>41240</v>
      </c>
      <c r="D113" s="1"/>
      <c r="E113" s="1">
        <f t="shared" si="1"/>
        <v>-41240</v>
      </c>
      <c r="F113" s="1">
        <v>30</v>
      </c>
      <c r="G113" s="1" t="s">
        <v>14</v>
      </c>
      <c r="H113" s="1" t="s">
        <v>66</v>
      </c>
      <c r="I113" s="1" t="s">
        <v>32</v>
      </c>
      <c r="J113" s="1"/>
      <c r="K113" s="1"/>
      <c r="L113" s="1"/>
    </row>
    <row r="114" spans="1:12" x14ac:dyDescent="0.25">
      <c r="A114" s="1" t="s">
        <v>67</v>
      </c>
      <c r="B114" s="1" t="s">
        <v>68</v>
      </c>
      <c r="C114" s="4">
        <v>41241</v>
      </c>
      <c r="D114" s="1"/>
      <c r="E114" s="1">
        <f t="shared" si="1"/>
        <v>-41241</v>
      </c>
      <c r="F114" s="1">
        <v>57</v>
      </c>
      <c r="G114" s="1" t="s">
        <v>14</v>
      </c>
      <c r="H114" s="1" t="s">
        <v>69</v>
      </c>
      <c r="I114" s="1" t="s">
        <v>70</v>
      </c>
      <c r="J114" s="1"/>
      <c r="K114" s="1"/>
      <c r="L114" s="1"/>
    </row>
    <row r="115" spans="1:12" x14ac:dyDescent="0.25">
      <c r="A115" s="1" t="s">
        <v>71</v>
      </c>
      <c r="B115" s="1" t="s">
        <v>51</v>
      </c>
      <c r="C115" s="4">
        <v>41241</v>
      </c>
      <c r="D115" s="1"/>
      <c r="E115" s="1">
        <f t="shared" si="1"/>
        <v>-41241</v>
      </c>
      <c r="F115" s="1">
        <v>43</v>
      </c>
      <c r="G115" s="1" t="s">
        <v>12</v>
      </c>
      <c r="H115" s="1" t="s">
        <v>19</v>
      </c>
      <c r="I115" s="1" t="s">
        <v>72</v>
      </c>
      <c r="J115" s="1"/>
      <c r="K115" s="1"/>
      <c r="L115" s="1"/>
    </row>
    <row r="116" spans="1:12" x14ac:dyDescent="0.25">
      <c r="A116" s="1" t="s">
        <v>73</v>
      </c>
      <c r="B116" s="1" t="s">
        <v>74</v>
      </c>
      <c r="C116" s="4">
        <v>41241</v>
      </c>
      <c r="D116" s="1"/>
      <c r="E116" s="1">
        <f t="shared" si="1"/>
        <v>-41241</v>
      </c>
      <c r="F116" s="1">
        <v>24</v>
      </c>
      <c r="G116" s="1" t="s">
        <v>12</v>
      </c>
      <c r="H116" s="1" t="s">
        <v>75</v>
      </c>
      <c r="I116" s="1" t="s">
        <v>76</v>
      </c>
      <c r="J116" s="1"/>
      <c r="K116" s="1"/>
      <c r="L116" s="1"/>
    </row>
    <row r="117" spans="1:12" x14ac:dyDescent="0.25">
      <c r="A117" s="1" t="s">
        <v>73</v>
      </c>
      <c r="B117" s="1" t="s">
        <v>74</v>
      </c>
      <c r="C117" s="4">
        <v>41241</v>
      </c>
      <c r="D117" s="1"/>
      <c r="E117" s="1">
        <f t="shared" ref="E117:E130" si="2">D117-C117</f>
        <v>-41241</v>
      </c>
      <c r="F117" s="1">
        <v>24</v>
      </c>
      <c r="G117" s="1" t="s">
        <v>12</v>
      </c>
      <c r="H117" s="1" t="s">
        <v>75</v>
      </c>
      <c r="I117" s="1" t="s">
        <v>76</v>
      </c>
      <c r="J117" s="1"/>
      <c r="K117" s="1"/>
      <c r="L117" s="1"/>
    </row>
    <row r="118" spans="1:12" x14ac:dyDescent="0.25">
      <c r="A118" s="1" t="s">
        <v>73</v>
      </c>
      <c r="B118" s="1" t="s">
        <v>74</v>
      </c>
      <c r="C118" s="4">
        <v>41241</v>
      </c>
      <c r="D118" s="1"/>
      <c r="E118" s="1">
        <f t="shared" si="2"/>
        <v>-41241</v>
      </c>
      <c r="F118" s="1">
        <v>24</v>
      </c>
      <c r="G118" s="1" t="s">
        <v>12</v>
      </c>
      <c r="H118" s="1" t="s">
        <v>75</v>
      </c>
      <c r="I118" s="1" t="s">
        <v>76</v>
      </c>
      <c r="J118" s="1"/>
      <c r="K118" s="1"/>
      <c r="L118" s="1"/>
    </row>
    <row r="119" spans="1:12" x14ac:dyDescent="0.25">
      <c r="A119" s="1" t="s">
        <v>73</v>
      </c>
      <c r="B119" s="1" t="s">
        <v>74</v>
      </c>
      <c r="C119" s="4">
        <v>41241</v>
      </c>
      <c r="D119" s="1"/>
      <c r="E119" s="1">
        <f t="shared" si="2"/>
        <v>-41241</v>
      </c>
      <c r="F119" s="1">
        <v>24</v>
      </c>
      <c r="G119" s="1" t="s">
        <v>12</v>
      </c>
      <c r="H119" s="1" t="s">
        <v>75</v>
      </c>
      <c r="I119" s="1" t="s">
        <v>76</v>
      </c>
      <c r="J119" s="1"/>
      <c r="K119" s="1"/>
      <c r="L119" s="1"/>
    </row>
    <row r="120" spans="1:12" x14ac:dyDescent="0.25">
      <c r="A120" s="1" t="s">
        <v>73</v>
      </c>
      <c r="B120" s="1" t="s">
        <v>74</v>
      </c>
      <c r="C120" s="4">
        <v>41241</v>
      </c>
      <c r="D120" s="1"/>
      <c r="E120" s="1">
        <f t="shared" si="2"/>
        <v>-41241</v>
      </c>
      <c r="F120" s="1">
        <v>24</v>
      </c>
      <c r="G120" s="1" t="s">
        <v>12</v>
      </c>
      <c r="H120" s="1" t="s">
        <v>75</v>
      </c>
      <c r="I120" s="1" t="s">
        <v>76</v>
      </c>
      <c r="J120" s="1"/>
      <c r="K120" s="1"/>
      <c r="L120" s="1"/>
    </row>
    <row r="121" spans="1:12" x14ac:dyDescent="0.25">
      <c r="A121" s="1" t="s">
        <v>73</v>
      </c>
      <c r="B121" s="1" t="s">
        <v>74</v>
      </c>
      <c r="C121" s="4">
        <v>41241</v>
      </c>
      <c r="D121" s="1"/>
      <c r="E121" s="1">
        <f t="shared" si="2"/>
        <v>-41241</v>
      </c>
      <c r="F121" s="1">
        <v>24</v>
      </c>
      <c r="G121" s="1" t="s">
        <v>12</v>
      </c>
      <c r="H121" s="1" t="s">
        <v>75</v>
      </c>
      <c r="I121" s="1" t="s">
        <v>76</v>
      </c>
      <c r="J121" s="1"/>
      <c r="K121" s="1"/>
      <c r="L121" s="1"/>
    </row>
    <row r="122" spans="1:12" x14ac:dyDescent="0.25">
      <c r="A122" s="1" t="s">
        <v>73</v>
      </c>
      <c r="B122" s="1" t="s">
        <v>74</v>
      </c>
      <c r="C122" s="4">
        <v>41241</v>
      </c>
      <c r="D122" s="1"/>
      <c r="E122" s="1">
        <f t="shared" si="2"/>
        <v>-41241</v>
      </c>
      <c r="F122" s="1">
        <v>24</v>
      </c>
      <c r="G122" s="1" t="s">
        <v>12</v>
      </c>
      <c r="H122" s="1" t="s">
        <v>75</v>
      </c>
      <c r="I122" s="1" t="s">
        <v>76</v>
      </c>
      <c r="J122" s="1"/>
      <c r="K122" s="1"/>
      <c r="L122" s="1"/>
    </row>
    <row r="123" spans="1:12" x14ac:dyDescent="0.25">
      <c r="A123" s="1" t="s">
        <v>73</v>
      </c>
      <c r="B123" s="1" t="s">
        <v>74</v>
      </c>
      <c r="C123" s="4">
        <v>41241</v>
      </c>
      <c r="D123" s="1"/>
      <c r="E123" s="1">
        <f t="shared" si="2"/>
        <v>-41241</v>
      </c>
      <c r="F123" s="1">
        <v>24</v>
      </c>
      <c r="G123" s="1" t="s">
        <v>12</v>
      </c>
      <c r="H123" s="1" t="s">
        <v>75</v>
      </c>
      <c r="I123" s="1" t="s">
        <v>76</v>
      </c>
      <c r="J123" s="1"/>
      <c r="K123" s="1"/>
      <c r="L123" s="1"/>
    </row>
    <row r="124" spans="1:12" x14ac:dyDescent="0.25">
      <c r="A124" s="1" t="s">
        <v>73</v>
      </c>
      <c r="B124" s="1" t="s">
        <v>74</v>
      </c>
      <c r="C124" s="4">
        <v>41241</v>
      </c>
      <c r="D124" s="1"/>
      <c r="E124" s="1">
        <f t="shared" si="2"/>
        <v>-41241</v>
      </c>
      <c r="F124" s="1">
        <v>24</v>
      </c>
      <c r="G124" s="1" t="s">
        <v>12</v>
      </c>
      <c r="H124" s="1" t="s">
        <v>75</v>
      </c>
      <c r="I124" s="1" t="s">
        <v>76</v>
      </c>
      <c r="J124" s="1"/>
      <c r="K124" s="1"/>
      <c r="L124" s="1"/>
    </row>
    <row r="125" spans="1:12" x14ac:dyDescent="0.25">
      <c r="A125" s="1" t="s">
        <v>73</v>
      </c>
      <c r="B125" s="1" t="s">
        <v>74</v>
      </c>
      <c r="C125" s="4">
        <v>41241</v>
      </c>
      <c r="D125" s="1"/>
      <c r="E125" s="1">
        <f t="shared" si="2"/>
        <v>-41241</v>
      </c>
      <c r="F125" s="1">
        <v>24</v>
      </c>
      <c r="G125" s="1" t="s">
        <v>12</v>
      </c>
      <c r="H125" s="1" t="s">
        <v>75</v>
      </c>
      <c r="I125" s="1" t="s">
        <v>76</v>
      </c>
      <c r="J125" s="1"/>
      <c r="K125" s="1"/>
      <c r="L125" s="1"/>
    </row>
    <row r="126" spans="1:12" x14ac:dyDescent="0.25">
      <c r="A126" s="1" t="s">
        <v>73</v>
      </c>
      <c r="B126" s="1" t="s">
        <v>74</v>
      </c>
      <c r="C126" s="4">
        <v>41241</v>
      </c>
      <c r="D126" s="1"/>
      <c r="E126" s="1">
        <f t="shared" si="2"/>
        <v>-41241</v>
      </c>
      <c r="F126" s="1">
        <v>24</v>
      </c>
      <c r="G126" s="1" t="s">
        <v>12</v>
      </c>
      <c r="H126" s="1" t="s">
        <v>75</v>
      </c>
      <c r="I126" s="1" t="s">
        <v>76</v>
      </c>
      <c r="J126" s="1"/>
      <c r="K126" s="1"/>
      <c r="L126" s="1"/>
    </row>
    <row r="127" spans="1:12" x14ac:dyDescent="0.25">
      <c r="A127" s="1" t="s">
        <v>73</v>
      </c>
      <c r="B127" s="1" t="s">
        <v>74</v>
      </c>
      <c r="C127" s="4">
        <v>41241</v>
      </c>
      <c r="D127" s="1"/>
      <c r="E127" s="1">
        <f t="shared" si="2"/>
        <v>-41241</v>
      </c>
      <c r="F127" s="1">
        <v>24</v>
      </c>
      <c r="G127" s="1" t="s">
        <v>12</v>
      </c>
      <c r="H127" s="1" t="s">
        <v>75</v>
      </c>
      <c r="I127" s="1" t="s">
        <v>76</v>
      </c>
      <c r="J127" s="1"/>
      <c r="K127" s="1"/>
      <c r="L127" s="1"/>
    </row>
    <row r="128" spans="1:12" x14ac:dyDescent="0.25">
      <c r="A128" s="1" t="s">
        <v>73</v>
      </c>
      <c r="B128" s="1" t="s">
        <v>74</v>
      </c>
      <c r="C128" s="4">
        <v>41241</v>
      </c>
      <c r="D128" s="1"/>
      <c r="E128" s="1">
        <f t="shared" si="2"/>
        <v>-41241</v>
      </c>
      <c r="F128" s="1">
        <v>24</v>
      </c>
      <c r="G128" s="1" t="s">
        <v>12</v>
      </c>
      <c r="H128" s="1" t="s">
        <v>75</v>
      </c>
      <c r="I128" s="1" t="s">
        <v>76</v>
      </c>
      <c r="J128" s="1"/>
      <c r="K128" s="1"/>
      <c r="L128" s="1"/>
    </row>
    <row r="129" spans="1:12" x14ac:dyDescent="0.25">
      <c r="A129" s="1" t="s">
        <v>73</v>
      </c>
      <c r="B129" s="1" t="s">
        <v>74</v>
      </c>
      <c r="C129" s="4">
        <v>41241</v>
      </c>
      <c r="D129" s="1"/>
      <c r="E129" s="1">
        <f t="shared" si="2"/>
        <v>-41241</v>
      </c>
      <c r="F129" s="1">
        <v>24</v>
      </c>
      <c r="G129" s="1" t="s">
        <v>12</v>
      </c>
      <c r="H129" s="1" t="s">
        <v>75</v>
      </c>
      <c r="I129" s="1" t="s">
        <v>76</v>
      </c>
      <c r="J129" s="1"/>
      <c r="K129" s="1"/>
      <c r="L129" s="1"/>
    </row>
    <row r="130" spans="1:12" x14ac:dyDescent="0.25">
      <c r="A130" s="1" t="s">
        <v>73</v>
      </c>
      <c r="B130" s="1" t="s">
        <v>74</v>
      </c>
      <c r="C130" s="4">
        <v>41241</v>
      </c>
      <c r="D130" s="1"/>
      <c r="E130" s="1">
        <f t="shared" si="2"/>
        <v>-41241</v>
      </c>
      <c r="F130" s="1">
        <v>24</v>
      </c>
      <c r="G130" s="1" t="s">
        <v>12</v>
      </c>
      <c r="H130" s="1" t="s">
        <v>75</v>
      </c>
      <c r="I130" s="1" t="s">
        <v>76</v>
      </c>
      <c r="J130" s="1"/>
      <c r="K130" s="1"/>
      <c r="L130" s="1"/>
    </row>
    <row r="131" spans="1:12" x14ac:dyDescent="0.25">
      <c r="A131" s="1" t="s">
        <v>73</v>
      </c>
      <c r="B131" s="1" t="s">
        <v>74</v>
      </c>
      <c r="C131" s="4">
        <v>41241</v>
      </c>
      <c r="D131" s="1"/>
      <c r="E131" s="1">
        <f t="shared" ref="E131" si="3">D131-C131</f>
        <v>-41241</v>
      </c>
      <c r="F131" s="1">
        <v>24</v>
      </c>
      <c r="G131" s="1" t="s">
        <v>12</v>
      </c>
      <c r="H131" s="1" t="s">
        <v>75</v>
      </c>
      <c r="I131" s="1" t="s">
        <v>76</v>
      </c>
      <c r="J131" s="1"/>
      <c r="K131" s="1"/>
      <c r="L1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JANV</vt:lpstr>
      <vt:lpstr>FEV</vt:lpstr>
      <vt:lpstr>MARS</vt:lpstr>
      <vt:lpstr>AVRIL</vt:lpstr>
      <vt:lpstr>MAI</vt:lpstr>
      <vt:lpstr>JUIN</vt:lpstr>
      <vt:lpstr>JUIL</vt:lpstr>
      <vt:lpstr>AOUT</vt:lpstr>
      <vt:lpstr>SEPT</vt:lpstr>
      <vt:lpstr>OCT</vt:lpstr>
      <vt:lpstr>NOV</vt:lpstr>
      <vt:lpstr>DEC</vt:lpstr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</cp:lastModifiedBy>
  <cp:lastPrinted>2012-11-15T13:31:06Z</cp:lastPrinted>
  <dcterms:created xsi:type="dcterms:W3CDTF">2011-12-30T12:51:06Z</dcterms:created>
  <dcterms:modified xsi:type="dcterms:W3CDTF">2025-05-30T16:43:17Z</dcterms:modified>
</cp:coreProperties>
</file>